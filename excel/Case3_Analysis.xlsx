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1ac23c7d9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f12cc35202524eec"/>
    <x:sheet xmlns:r="http://schemas.openxmlformats.org/officeDocument/2006/relationships" name="Segments" sheetId="2" r:id="R2810ec59cb1040c9"/>
    <x:sheet xmlns:r="http://schemas.openxmlformats.org/officeDocument/2006/relationships" name="Strategies" sheetId="3" r:id="R2d30b60655554206"/>
    <x:sheet xmlns:r="http://schemas.openxmlformats.org/officeDocument/2006/relationships" name="Scenarios" sheetId="4" r:id="R33080ca8bf4046a2"/>
    <x:sheet xmlns:r="http://schemas.openxmlformats.org/officeDocument/2006/relationships" name="Years" sheetId="5" r:id="Raebb4f8bd5dd4e8f"/>
    <x:sheet xmlns:r="http://schemas.openxmlformats.org/officeDocument/2006/relationships" name="Assumptions" sheetId="6" r:id="Rd7954dcc0a0a4d0b"/>
    <x:sheet xmlns:r="http://schemas.openxmlformats.org/officeDocument/2006/relationships" name="Respondents" sheetId="7" r:id="R3bc8d364f9f54f81"/>
    <x:sheet xmlns:r="http://schemas.openxmlformats.org/officeDocument/2006/relationships" name="Responses" sheetId="8" r:id="Rc96b7bd4b1c14798"/>
    <x:sheet xmlns:r="http://schemas.openxmlformats.org/officeDocument/2006/relationships" name="Segment analysis" sheetId="9" r:id="Rf290909663b84de7"/>
    <x:sheet xmlns:r="http://schemas.openxmlformats.org/officeDocument/2006/relationships" name="Forecast" sheetId="10" r:id="R9b6b7b5ea1894abd"/>
    <x:sheet xmlns:r="http://schemas.openxmlformats.org/officeDocument/2006/relationships" name="Price test" sheetId="11" r:id="Rec47a33688704255"/>
    <x:sheet xmlns:r="http://schemas.openxmlformats.org/officeDocument/2006/relationships" name="Notes" sheetId="12" r:id="R235d9374d5e6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–"/>
    <x:numFmt numFmtId="201" formatCode="0.0%"/>
    <x:numFmt numFmtId="202" formatCode="#,##0"/>
  </x:numFmts>
  <x:fonts count="6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  <x:font>
      <x:sz val="10"/>
      <x:color rgb="FF215EA8"/>
      <x:name val="Arial"/>
    </x:font>
    <x:font>
      <x:b/>
      <x:sz val="11"/>
      <x:color rgb="FFFFFFFF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/>
    <x:xf numFmtId="202" fontId="0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1">
    <x:dxf>
      <x:font>
        <x:color rgb="FFA3303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0ab5324a7411f" /><Relationship Type="http://schemas.openxmlformats.org/officeDocument/2006/relationships/theme" Target="/xl/theme/theme1.xml" Id="R1e5f3c3158fe4067" /><Relationship Type="http://schemas.openxmlformats.org/officeDocument/2006/relationships/sharedStrings" Target="/xl/sharedStrings.xml" Id="R7451d0c24b70408c" /><Relationship Type="http://schemas.openxmlformats.org/officeDocument/2006/relationships/worksheet" Target="/xl/worksheets/sheet1.xml" Id="Rf12cc35202524eec" /><Relationship Type="http://schemas.openxmlformats.org/officeDocument/2006/relationships/worksheet" Target="/xl/worksheets/sheet2.xml" Id="R2810ec59cb1040c9" /><Relationship Type="http://schemas.openxmlformats.org/officeDocument/2006/relationships/worksheet" Target="/xl/worksheets/sheet3.xml" Id="R2d30b60655554206" /><Relationship Type="http://schemas.openxmlformats.org/officeDocument/2006/relationships/worksheet" Target="/xl/worksheets/sheet4.xml" Id="R33080ca8bf4046a2" /><Relationship Type="http://schemas.openxmlformats.org/officeDocument/2006/relationships/worksheet" Target="/xl/worksheets/sheet5.xml" Id="Raebb4f8bd5dd4e8f" /><Relationship Type="http://schemas.openxmlformats.org/officeDocument/2006/relationships/worksheet" Target="/xl/worksheets/sheet6.xml" Id="Rd7954dcc0a0a4d0b" /><Relationship Type="http://schemas.openxmlformats.org/officeDocument/2006/relationships/worksheet" Target="/xl/worksheets/sheet7.xml" Id="R3bc8d364f9f54f81" /><Relationship Type="http://schemas.openxmlformats.org/officeDocument/2006/relationships/worksheet" Target="/xl/worksheets/sheet8.xml" Id="Rc96b7bd4b1c14798" /><Relationship Type="http://schemas.openxmlformats.org/officeDocument/2006/relationships/worksheet" Target="/xl/worksheets/sheet9.xml" Id="Rf290909663b84de7" /><Relationship Type="http://schemas.openxmlformats.org/officeDocument/2006/relationships/worksheet" Target="/xl/worksheets/sheet10.xml" Id="R9b6b7b5ea1894abd" /><Relationship Type="http://schemas.openxmlformats.org/officeDocument/2006/relationships/worksheet" Target="/xl/worksheets/sheet11.xml" Id="Rec47a33688704255" /><Relationship Type="http://schemas.openxmlformats.org/officeDocument/2006/relationships/worksheet" Target="/xl/worksheets/sheet12.xml" Id="R235d9374d5e64f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4" t="str">
        <x:v>Strategy</x:v>
      </x:c>
      <x:c r="B1" s="4" t="str">
        <x:v>Scenario</x:v>
      </x:c>
      <x:c r="C1" s="4" t="str">
        <x:v>3-year NPV USD</x:v>
      </x:c>
      <x:c r="D1" s="4" t="str">
        <x:v>Units</x:v>
      </x:c>
      <x:c r="E1" s="4" t="str">
        <x:v>Revenue USD</x:v>
      </x:c>
      <x:c r="F1" s="4" t="str">
        <x:v>Mechanical loss USD</x:v>
      </x:c>
      <x:c r="G1" s="4" t="str">
        <x:v>Brand loss USD</x:v>
      </x:c>
      <x:c r="H1" s="4" t="str">
        <x:v>Max displacement</x:v>
      </x:c>
      <x:c r="I1" s="4" t="str">
        <x:v>Brand haircut</x:v>
      </x:c>
      <x:c r="J1" s="4" t="str">
        <x:v>NPV &gt; 0</x:v>
      </x:c>
      <x:c r="K1" s="4" t="str">
        <x:v>Risk within limits</x:v>
      </x:c>
    </x:row>
    <x:row r="2">
      <x:c r="A2" s="5" t="str">
        <x:v>Heritage extension</x:v>
      </x:c>
      <x:c r="B2" s="5" t="str">
        <x:v>Downside</x:v>
      </x:c>
      <x:c r="C2" s="5" t="n">
        <x:f>SUM('Forecast'!M2:M4)-'Strategies'!H2</x:f>
        <x:v>-7960200.016057761</x:v>
      </x:c>
      <x:c r="D2" s="16" t="n">
        <x:f>SUM('Forecast'!E2:E4)</x:f>
        <x:v>3069</x:v>
      </x:c>
      <x:c r="E2" s="5" t="n">
        <x:f>SUM('Forecast'!F2:F4)</x:f>
        <x:v>4750812</x:v>
      </x:c>
      <x:c r="F2" s="5" t="n">
        <x:f>SUM('Forecast'!J2:J4)</x:f>
        <x:v>1077219</x:v>
      </x:c>
      <x:c r="G2" s="5" t="n">
        <x:f>SUM('Forecast'!K2:K4)</x:f>
        <x:v>2608262.5725000002</x:v>
      </x:c>
      <x:c r="H2" s="10" t="n">
        <x:f>MAX('Forecast'!N2:N4)</x:f>
        <x:v>0.012384000000000001</x:v>
      </x:c>
      <x:c r="I2" s="10" t="n">
        <x:f>MAX('Forecast'!O2:O4)</x:f>
        <x:v>0.0225</x:v>
      </x:c>
      <x:c r="J2" s="5" t="b">
        <x:f>C2&gt;0</x:f>
        <x:v>0</x:v>
      </x:c>
      <x:c r="K2" s="5" t="b">
        <x:f>AND(H2&lt;='Assumptions'!$G$2,I2&lt;='Assumptions'!$H$2)</x:f>
        <x:v>0</x:v>
      </x:c>
    </x:row>
    <x:row r="3">
      <x:c r="A3" s="5" t="str">
        <x:v>Heritage extension</x:v>
      </x:c>
      <x:c r="B3" s="5" t="str">
        <x:v>Base</x:v>
      </x:c>
      <x:c r="C3" s="5" t="n">
        <x:f>SUM('Forecast'!M5:M7)-'Strategies'!H2</x:f>
        <x:v>-6274905.740502004</x:v>
      </x:c>
      <x:c r="D3" s="16" t="n">
        <x:f>SUM('Forecast'!E5:E7)</x:f>
        <x:v>4385</x:v>
      </x:c>
      <x:c r="E3" s="5" t="n">
        <x:f>SUM('Forecast'!F5:F7)</x:f>
        <x:v>6787980</x:v>
      </x:c>
      <x:c r="F3" s="5" t="n">
        <x:f>SUM('Forecast'!J5:J7)</x:f>
        <x:v>1026090</x:v>
      </x:c>
      <x:c r="G3" s="5" t="n">
        <x:f>SUM('Forecast'!K5:K7)</x:f>
        <x:v>1739608.6500000001</x:v>
      </x:c>
      <x:c r="H3" s="10" t="n">
        <x:f>MAX('Forecast'!N5:N7)</x:f>
        <x:v>0.011796</x:v>
      </x:c>
      <x:c r="I3" s="10" t="n">
        <x:f>MAX('Forecast'!O5:O7)</x:f>
        <x:v>0.015</x:v>
      </x:c>
      <x:c r="J3" s="5" t="b">
        <x:f>C3&gt;0</x:f>
        <x:v>0</x:v>
      </x:c>
      <x:c r="K3" s="5" t="b">
        <x:f>AND(H3&lt;='Assumptions'!$G$2,I3&lt;='Assumptions'!$H$2)</x:f>
        <x:v>0</x:v>
      </x:c>
    </x:row>
    <x:row r="4">
      <x:c r="A4" s="5" t="str">
        <x:v>Heritage extension</x:v>
      </x:c>
      <x:c r="B4" s="5" t="str">
        <x:v>Upside</x:v>
      </x:c>
      <x:c r="C4" s="5" t="n">
        <x:f>SUM('Forecast'!M8:M10)-'Strategies'!H2</x:f>
        <x:v>-5177655.3303735135</x:v>
      </x:c>
      <x:c r="D4" s="16" t="n">
        <x:f>SUM('Forecast'!E8:E10)</x:f>
        <x:v>5262</x:v>
      </x:c>
      <x:c r="E4" s="5" t="n">
        <x:f>SUM('Forecast'!F8:F10)</x:f>
        <x:v>8145576</x:v>
      </x:c>
      <x:c r="F4" s="5" t="n">
        <x:f>SUM('Forecast'!J8:J10)</x:f>
        <x:v>923481</x:v>
      </x:c>
      <x:c r="G4" s="5" t="n">
        <x:f>SUM('Forecast'!K8:K10)</x:f>
        <x:v>1305860.83875</x:v>
      </x:c>
      <x:c r="H4" s="10" t="n">
        <x:f>MAX('Forecast'!N8:N10)</x:f>
        <x:v>0.0106155</x:v>
      </x:c>
      <x:c r="I4" s="10" t="n">
        <x:f>MAX('Forecast'!O8:O10)</x:f>
        <x:v>0.01125</x:v>
      </x:c>
      <x:c r="J4" s="5" t="b">
        <x:f>C4&gt;0</x:f>
        <x:v>0</x:v>
      </x:c>
      <x:c r="K4" s="5" t="b">
        <x:f>AND(H4&lt;='Assumptions'!$G$2,I4&lt;='Assumptions'!$H$2)</x:f>
        <x:v>0</x:v>
      </x:c>
    </x:row>
    <x:row r="5">
      <x:c r="A5" s="5" t="str">
        <x:v>Separate sibling brand</x:v>
      </x:c>
      <x:c r="B5" s="5" t="str">
        <x:v>Downside</x:v>
      </x:c>
      <x:c r="C5" s="5" t="n">
        <x:f>SUM('Forecast'!M11:M13)-'Strategies'!H3</x:f>
        <x:v>-5995579.100727041</x:v>
      </x:c>
      <x:c r="D5" s="16" t="n">
        <x:f>SUM('Forecast'!E11:E13)</x:f>
        <x:v>15509</x:v>
      </x:c>
      <x:c r="E5" s="5" t="n">
        <x:f>SUM('Forecast'!F11:F13)</x:f>
        <x:v>12965524</x:v>
      </x:c>
      <x:c r="F5" s="5" t="n">
        <x:f>SUM('Forecast'!J11:J13)</x:f>
        <x:v>1088731.8000000003</x:v>
      </x:c>
      <x:c r="G5" s="5" t="n">
        <x:f>SUM('Forecast'!K11:K13)</x:f>
        <x:v>347733.80460000003</x:v>
      </x:c>
      <x:c r="H5" s="10" t="n">
        <x:f>MAX('Forecast'!N11:N13)</x:f>
        <x:v>0.012513600000000001</x:v>
      </x:c>
      <x:c r="I5" s="10" t="n">
        <x:f>MAX('Forecast'!O11:O13)</x:f>
        <x:v>0.003</x:v>
      </x:c>
      <x:c r="J5" s="5" t="b">
        <x:f>C5&gt;0</x:f>
        <x:v>0</x:v>
      </x:c>
      <x:c r="K5" s="5" t="b">
        <x:f>AND(H5&lt;='Assumptions'!$G$2,I5&lt;='Assumptions'!$H$2)</x:f>
        <x:v>1</x:v>
      </x:c>
    </x:row>
    <x:row r="6">
      <x:c r="A6" s="5" t="str">
        <x:v>Separate sibling brand</x:v>
      </x:c>
      <x:c r="B6" s="5" t="str">
        <x:v>Base</x:v>
      </x:c>
      <x:c r="C6" s="5" t="n">
        <x:f>SUM('Forecast'!M14:M16)-'Strategies'!H3</x:f>
        <x:v>-3519508.774916181</x:v>
      </x:c>
      <x:c r="D6" s="16" t="n">
        <x:f>SUM('Forecast'!E14:E16)</x:f>
        <x:v>22156</x:v>
      </x:c>
      <x:c r="E6" s="5" t="n">
        <x:f>SUM('Forecast'!F14:F16)</x:f>
        <x:v>18522416</x:v>
      </x:c>
      <x:c r="F6" s="5" t="n">
        <x:f>SUM('Forecast'!J14:J16)</x:f>
        <x:v>1036900.8</x:v>
      </x:c>
      <x:c r="G6" s="5" t="n">
        <x:f>SUM('Forecast'!K14:K16)</x:f>
        <x:v>231926.19840000002</x:v>
      </x:c>
      <x:c r="H6" s="10" t="n">
        <x:f>MAX('Forecast'!N14:N16)</x:f>
        <x:v>0.0119184</x:v>
      </x:c>
      <x:c r="I6" s="10" t="n">
        <x:f>MAX('Forecast'!O14:O16)</x:f>
        <x:v>0.002</x:v>
      </x:c>
      <x:c r="J6" s="5" t="b">
        <x:f>C6&gt;0</x:f>
        <x:v>0</x:v>
      </x:c>
      <x:c r="K6" s="5" t="b">
        <x:f>AND(H6&lt;='Assumptions'!$G$2,I6&lt;='Assumptions'!$H$2)</x:f>
        <x:v>1</x:v>
      </x:c>
    </x:row>
    <x:row r="7">
      <x:c r="A7" s="5" t="str">
        <x:v>Separate sibling brand</x:v>
      </x:c>
      <x:c r="B7" s="5" t="str">
        <x:v>Upside</x:v>
      </x:c>
      <x:c r="C7" s="5" t="n">
        <x:f>SUM('Forecast'!M17:M19)-'Strategies'!H3</x:f>
        <x:v>-1715515.2127310727</x:v>
      </x:c>
      <x:c r="D7" s="16" t="n">
        <x:f>SUM('Forecast'!E17:E19)</x:f>
        <x:v>26587</x:v>
      </x:c>
      <x:c r="E7" s="5" t="n">
        <x:f>SUM('Forecast'!F17:F19)</x:f>
        <x:v>22226732</x:v>
      </x:c>
      <x:c r="F7" s="5" t="n">
        <x:f>SUM('Forecast'!J17:J19)</x:f>
        <x:v>933203.7</x:v>
      </x:c>
      <x:c r="G7" s="5" t="n">
        <x:f>SUM('Forecast'!K17:K19)</x:f>
        <x:v>174100.19445</x:v>
      </x:c>
      <x:c r="H7" s="10" t="n">
        <x:f>MAX('Forecast'!N17:N19)</x:f>
        <x:v>0.0107262</x:v>
      </x:c>
      <x:c r="I7" s="10" t="n">
        <x:f>MAX('Forecast'!O17:O19)</x:f>
        <x:v>0.0015</x:v>
      </x:c>
      <x:c r="J7" s="5" t="b">
        <x:f>C7&gt;0</x:f>
        <x:v>0</x:v>
      </x:c>
      <x:c r="K7" s="5" t="b">
        <x:f>AND(H7&lt;='Assumptions'!$G$2,I7&lt;='Assumptions'!$H$2)</x:f>
        <x:v>1</x:v>
      </x:c>
    </x:row>
    <x:row r="8">
      <x:c r="A8" s="5" t="str">
        <x:v>Co-brand partnership</x:v>
      </x:c>
      <x:c r="B8" s="5" t="str">
        <x:v>Downside</x:v>
      </x:c>
      <x:c r="C8" s="5" t="n">
        <x:f>SUM('Forecast'!M20:M22)-'Strategies'!H4</x:f>
        <x:v>-4157029.9921721257</x:v>
      </x:c>
      <x:c r="D8" s="16" t="n">
        <x:f>SUM('Forecast'!E20:E22)</x:f>
        <x:v>7034</x:v>
      </x:c>
      <x:c r="E8" s="5" t="n">
        <x:f>SUM('Forecast'!F20:F22)</x:f>
        <x:v>6858150</x:v>
      </x:c>
      <x:c r="F8" s="5" t="n">
        <x:f>SUM('Forecast'!J20:J22)</x:f>
        <x:v>905275.8</x:v>
      </x:c>
      <x:c r="G8" s="5" t="n">
        <x:f>SUM('Forecast'!K20:K22)</x:f>
        <x:v>1044852.5178</x:v>
      </x:c>
      <x:c r="H8" s="10" t="n">
        <x:f>MAX('Forecast'!N20:N22)</x:f>
        <x:v>0.0104049</x:v>
      </x:c>
      <x:c r="I8" s="10" t="n">
        <x:f>MAX('Forecast'!O20:O22)</x:f>
        <x:v>0.009000000000000001</x:v>
      </x:c>
      <x:c r="J8" s="5" t="b">
        <x:f>C8&gt;0</x:f>
        <x:v>0</x:v>
      </x:c>
      <x:c r="K8" s="5" t="b">
        <x:f>AND(H8&lt;='Assumptions'!$G$2,I8&lt;='Assumptions'!$H$2)</x:f>
        <x:v>0</x:v>
      </x:c>
    </x:row>
    <x:row r="9">
      <x:c r="A9" s="5" t="str">
        <x:v>Co-brand partnership</x:v>
      </x:c>
      <x:c r="B9" s="5" t="str">
        <x:v>Base</x:v>
      </x:c>
      <x:c r="C9" s="5" t="n">
        <x:f>SUM('Forecast'!M23:M25)-'Strategies'!H4</x:f>
        <x:v>-2545741.716696884</x:v>
      </x:c>
      <x:c r="D9" s="16" t="n">
        <x:f>SUM('Forecast'!E23:E25)</x:f>
        <x:v>10049</x:v>
      </x:c>
      <x:c r="E9" s="5" t="n">
        <x:f>SUM('Forecast'!F23:F25)</x:f>
        <x:v>9797775</x:v>
      </x:c>
      <x:c r="F9" s="5" t="n">
        <x:f>SUM('Forecast'!J23:J25)</x:f>
        <x:v>862204.2</x:v>
      </x:c>
      <x:c r="G9" s="5" t="n">
        <x:f>SUM('Forecast'!K23:K25)</x:f>
        <x:v>696826.7748</x:v>
      </x:c>
      <x:c r="H9" s="10" t="n">
        <x:f>MAX('Forecast'!N23:N25)</x:f>
        <x:v>0.009911</x:v>
      </x:c>
      <x:c r="I9" s="10" t="n">
        <x:f>MAX('Forecast'!O23:O25)</x:f>
        <x:v>0.006</x:v>
      </x:c>
      <x:c r="J9" s="5" t="b">
        <x:f>C9&gt;0</x:f>
        <x:v>0</x:v>
      </x:c>
      <x:c r="K9" s="5" t="b">
        <x:f>AND(H9&lt;='Assumptions'!$G$2,I9&lt;='Assumptions'!$H$2)</x:f>
        <x:v>0</x:v>
      </x:c>
    </x:row>
    <x:row r="10">
      <x:c r="A10" s="5" t="str">
        <x:v>Co-brand partnership</x:v>
      </x:c>
      <x:c r="B10" s="5" t="str">
        <x:v>Upside</x:v>
      </x:c>
      <x:c r="C10" s="5" t="n">
        <x:f>SUM('Forecast'!M26:M28)-'Strategies'!H4</x:f>
        <x:v>-1416250.170647464</x:v>
      </x:c>
      <x:c r="D10" s="16" t="n">
        <x:f>SUM('Forecast'!E26:E28)</x:f>
        <x:v>12058</x:v>
      </x:c>
      <x:c r="E10" s="5" t="n">
        <x:f>SUM('Forecast'!F26:F28)</x:f>
        <x:v>11756550</x:v>
      </x:c>
      <x:c r="F10" s="5" t="n">
        <x:f>SUM('Forecast'!J26:J28)</x:f>
        <x:v>775932.3</x:v>
      </x:c>
      <x:c r="G10" s="5" t="n">
        <x:f>SUM('Forecast'!K26:K28)</x:f>
        <x:v>523008.30465000006</x:v>
      </x:c>
      <x:c r="H10" s="10" t="n">
        <x:f>MAX('Forecast'!N26:N28)</x:f>
        <x:v>0.00891825</x:v>
      </x:c>
      <x:c r="I10" s="10" t="n">
        <x:f>MAX('Forecast'!O26:O28)</x:f>
        <x:v>0.0045000000000000005</x:v>
      </x:c>
      <x:c r="J10" s="5" t="b">
        <x:f>C10&gt;0</x:f>
        <x:v>0</x:v>
      </x:c>
      <x:c r="K10" s="5" t="b">
        <x:f>AND(H10&lt;='Assumptions'!$G$2,I10&lt;='Assumptions'!$H$2)</x:f>
        <x:v>1</x:v>
      </x:c>
    </x:row>
    <x:row r="11">
      <x:c r="A11" s="5" t="str">
        <x:v>Heritage licensing</x:v>
      </x:c>
      <x:c r="B11" s="5" t="str">
        <x:v>Downside</x:v>
      </x:c>
      <x:c r="C11" s="5" t="n">
        <x:f>SUM('Forecast'!M29:M31)-'Strategies'!H5</x:f>
        <x:v>-5466964.707155384</x:v>
      </x:c>
      <x:c r="D11" s="16" t="n">
        <x:f>SUM('Forecast'!E29:E31)</x:f>
        <x:v>23142</x:v>
      </x:c>
      <x:c r="E11" s="5" t="n">
        <x:f>SUM('Forecast'!F29:F31)</x:f>
        <x:v>1851360</x:v>
      </x:c>
      <x:c r="F11" s="5" t="n">
        <x:f>SUM('Forecast'!J29:J31)</x:f>
        <x:v>4738324.5</x:v>
      </x:c>
      <x:c r="G11" s="5" t="n">
        <x:f>SUM('Forecast'!K29:K31)</x:f>
        <x:v>2020710.1590000005</x:v>
      </x:c>
      <x:c r="H11" s="10" t="n">
        <x:f>MAX('Forecast'!N29:N31)</x:f>
        <x:v>0.0544635</x:v>
      </x:c>
      <x:c r="I11" s="10" t="n">
        <x:f>MAX('Forecast'!O29:O31)</x:f>
        <x:v>0.018000000000000002</x:v>
      </x:c>
      <x:c r="J11" s="5" t="b">
        <x:f>C11&gt;0</x:f>
        <x:v>0</x:v>
      </x:c>
      <x:c r="K11" s="5" t="b">
        <x:f>AND(H11&lt;='Assumptions'!$G$2,I11&lt;='Assumptions'!$H$2)</x:f>
        <x:v>0</x:v>
      </x:c>
    </x:row>
    <x:row r="12">
      <x:c r="A12" s="5" t="str">
        <x:v>Heritage licensing</x:v>
      </x:c>
      <x:c r="B12" s="5" t="str">
        <x:v>Base</x:v>
      </x:c>
      <x:c r="C12" s="5" t="n">
        <x:f>SUM('Forecast'!M32:M34)-'Strategies'!H5</x:f>
        <x:v>-4183000.7308217934</x:v>
      </x:c>
      <x:c r="D12" s="16" t="n">
        <x:f>SUM('Forecast'!E32:E34)</x:f>
        <x:v>33060</x:v>
      </x:c>
      <x:c r="E12" s="5" t="n">
        <x:f>SUM('Forecast'!F32:F34)</x:f>
        <x:v>2644800</x:v>
      </x:c>
      <x:c r="F12" s="5" t="n">
        <x:f>SUM('Forecast'!J32:J34)</x:f>
        <x:v>4512690.000000002</x:v>
      </x:c>
      <x:c r="G12" s="5" t="n">
        <x:f>SUM('Forecast'!K32:K34)</x:f>
        <x:v>1349847.72</x:v>
      </x:c>
      <x:c r="H12" s="10" t="n">
        <x:f>MAX('Forecast'!N32:N34)</x:f>
        <x:v>0.051870000000000006</x:v>
      </x:c>
      <x:c r="I12" s="10" t="n">
        <x:f>MAX('Forecast'!O32:O34)</x:f>
        <x:v>0.012</x:v>
      </x:c>
      <x:c r="J12" s="5" t="b">
        <x:f>C12&gt;0</x:f>
        <x:v>0</x:v>
      </x:c>
      <x:c r="K12" s="5" t="b">
        <x:f>AND(H12&lt;='Assumptions'!$G$2,I12&lt;='Assumptions'!$H$2)</x:f>
        <x:v>0</x:v>
      </x:c>
    </x:row>
    <x:row r="13">
      <x:c r="A13" s="5" t="str">
        <x:v>Heritage licensing</x:v>
      </x:c>
      <x:c r="B13" s="5" t="str">
        <x:v>Upside</x:v>
      </x:c>
      <x:c r="C13" s="5" t="n">
        <x:f>SUM('Forecast'!M35:M37)-'Strategies'!H5</x:f>
        <x:v>-3181222.352873315</x:v>
      </x:c>
      <x:c r="D13" s="16" t="n">
        <x:f>SUM('Forecast'!E35:E37)</x:f>
        <x:v>39672</x:v>
      </x:c>
      <x:c r="E13" s="5" t="n">
        <x:f>SUM('Forecast'!F35:F37)</x:f>
        <x:v>3173760</x:v>
      </x:c>
      <x:c r="F13" s="5" t="n">
        <x:f>SUM('Forecast'!J35:J37)</x:f>
        <x:v>4061421.0000000005</x:v>
      </x:c>
      <x:c r="G13" s="5" t="n">
        <x:f>SUM('Forecast'!K35:K37)</x:f>
        <x:v>1016447.2110000001</x:v>
      </x:c>
      <x:c r="H13" s="10" t="n">
        <x:f>MAX('Forecast'!N35:N37)</x:f>
        <x:v>0.046683</x:v>
      </x:c>
      <x:c r="I13" s="10" t="n">
        <x:f>MAX('Forecast'!O35:O37)</x:f>
        <x:v>0.009000000000000001</x:v>
      </x:c>
      <x:c r="J13" s="5" t="b">
        <x:f>C13&gt;0</x:f>
        <x:v>0</x:v>
      </x:c>
      <x:c r="K13" s="5" t="b">
        <x:f>AND(H13&lt;='Assumptions'!$G$2,I13&lt;='Assumptions'!$H$2)</x:f>
        <x:v>0</x:v>
      </x:c>
    </x:row>
    <x:row r="14">
      <x:c r="A14" s="5" t="str">
        <x:v>Modular hybrid</x:v>
      </x:c>
      <x:c r="B14" s="5" t="str">
        <x:v>Downside</x:v>
      </x:c>
      <x:c r="C14" s="5" t="n">
        <x:f>SUM('Forecast'!M38:M40)-'Strategies'!H6</x:f>
        <x:v>-4324415.962190006</x:v>
      </x:c>
      <x:c r="D14" s="16" t="n">
        <x:f>SUM('Forecast'!E38:E40)</x:f>
        <x:v>4210</x:v>
      </x:c>
      <x:c r="E14" s="5" t="n">
        <x:f>SUM('Forecast'!F38:F40)</x:f>
        <x:v>5430900</x:v>
      </x:c>
      <x:c r="F14" s="5" t="n">
        <x:f>SUM('Forecast'!J38:J40)</x:f>
        <x:v>443313</x:v>
      </x:c>
      <x:c r="G14" s="5" t="n">
        <x:f>SUM('Forecast'!K38:K40)</x:f>
        <x:v>699340.122</x:v>
      </x:c>
      <x:c r="H14" s="10" t="n">
        <x:f>MAX('Forecast'!N38:N40)</x:f>
        <x:v>0.005094899999999999</x:v>
      </x:c>
      <x:c r="I14" s="10" t="n">
        <x:f>MAX('Forecast'!O38:O40)</x:f>
        <x:v>0.006</x:v>
      </x:c>
      <x:c r="J14" s="5" t="b">
        <x:f>C14&gt;0</x:f>
        <x:v>0</x:v>
      </x:c>
      <x:c r="K14" s="5" t="b">
        <x:f>AND(H14&lt;='Assumptions'!$G$2,I14&lt;='Assumptions'!$H$2)</x:f>
        <x:v>0</x:v>
      </x:c>
    </x:row>
    <x:row r="15">
      <x:c r="A15" s="5" t="str">
        <x:v>Modular hybrid</x:v>
      </x:c>
      <x:c r="B15" s="5" t="str">
        <x:v>Base</x:v>
      </x:c>
      <x:c r="C15" s="5" t="n">
        <x:f>SUM('Forecast'!M41:M43)-'Strategies'!H6</x:f>
        <x:v>-3057718.3658017493</x:v>
      </x:c>
      <x:c r="D15" s="16" t="n">
        <x:f>SUM('Forecast'!E41:E43)</x:f>
        <x:v>6014</x:v>
      </x:c>
      <x:c r="E15" s="5" t="n">
        <x:f>SUM('Forecast'!F41:F43)</x:f>
        <x:v>7758060</x:v>
      </x:c>
      <x:c r="F15" s="5" t="n">
        <x:f>SUM('Forecast'!J41:J43)</x:f>
        <x:v>422182.8</x:v>
      </x:c>
      <x:c r="G15" s="5" t="n">
        <x:f>SUM('Forecast'!K41:K43)</x:f>
        <x:v>466311.2688000001</x:v>
      </x:c>
      <x:c r="H15" s="10" t="n">
        <x:f>MAX('Forecast'!N41:N43)</x:f>
        <x:v>0.0048528</x:v>
      </x:c>
      <x:c r="I15" s="10" t="n">
        <x:f>MAX('Forecast'!O41:O43)</x:f>
        <x:v>0.004</x:v>
      </x:c>
      <x:c r="J15" s="5" t="b">
        <x:f>C15&gt;0</x:f>
        <x:v>0</x:v>
      </x:c>
      <x:c r="K15" s="5" t="b">
        <x:f>AND(H15&lt;='Assumptions'!$G$2,I15&lt;='Assumptions'!$H$2)</x:f>
        <x:v>1</x:v>
      </x:c>
    </x:row>
    <x:row r="16">
      <x:c r="A16" s="5" t="str">
        <x:v>Modular hybrid</x:v>
      </x:c>
      <x:c r="B16" s="5" t="str">
        <x:v>Upside</x:v>
      </x:c>
      <x:c r="C16" s="5" t="n">
        <x:f>SUM('Forecast'!M44:M46)-'Strategies'!H6</x:f>
        <x:v>-2178919.5728046987</x:v>
      </x:c>
      <x:c r="D16" s="16" t="n">
        <x:f>SUM('Forecast'!E44:E46)</x:f>
        <x:v>7217</x:v>
      </x:c>
      <x:c r="E16" s="5" t="n">
        <x:f>SUM('Forecast'!F44:F46)</x:f>
        <x:v>9309930</x:v>
      </x:c>
      <x:c r="F16" s="5" t="n">
        <x:f>SUM('Forecast'!J44:J46)</x:f>
        <x:v>379975.05</x:v>
      </x:c>
      <x:c r="G16" s="5" t="n">
        <x:f>SUM('Forecast'!K44:K46)</x:f>
        <x:v>349860.07485000003</x:v>
      </x:c>
      <x:c r="H16" s="10" t="n">
        <x:f>MAX('Forecast'!N44:N46)</x:f>
        <x:v>0.00436725</x:v>
      </x:c>
      <x:c r="I16" s="10" t="n">
        <x:f>MAX('Forecast'!O44:O46)</x:f>
        <x:v>0.003</x:v>
      </x:c>
      <x:c r="J16" s="5" t="b">
        <x:f>C16&gt;0</x:f>
        <x:v>0</x:v>
      </x:c>
      <x:c r="K16" s="5" t="b">
        <x:f>AND(H16&lt;='Assumptions'!$G$2,I16&lt;='Assumptions'!$H$2)</x:f>
        <x:v>1</x:v>
      </x:c>
    </x:row>
    <x:row r="19">
      <x:c r="A19" t="str">
        <x:v>Decision: defer commercial entry</x:v>
      </x:c>
      <x:c r="B19"/>
      <x:c r="C19"/>
      <x:c r="D19"/>
      <x:c r="E19"/>
      <x:c r="F19"/>
    </x:row>
    <x:row r="20">
      <x:c r="A20" t="str">
        <x:v>No entry: incremental NPV = $0</x:v>
      </x:c>
      <x:c r="B20"/>
      <x:c r="C20"/>
      <x:c r="D20"/>
      <x:c r="E20"/>
      <x:c r="F20"/>
    </x:row>
    <x:row r="21">
      <x:c r="A21" t="str">
        <x:v>All data and scenario outputs are synthetic.</x:v>
      </x:c>
      <x:c r="B21"/>
      <x:c r="C21"/>
      <x:c r="D21"/>
      <x:c r="E21"/>
      <x:c r="F21"/>
    </x:row>
    <x:row r="22">
      <x:c r="A22" t="str">
        <x:v>Power BI is the main dashboard; see build guide.</x:v>
      </x:c>
      <x:c r="B22"/>
      <x:c r="C22"/>
      <x:c r="D22"/>
      <x:c r="E22"/>
      <x:c r="F22"/>
    </x:row>
  </x:sheetData>
  <x:conditionalFormatting sqref="C2:C16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segment id</x:v>
      </x:c>
      <x:c r="B1" s="4" t="str">
        <x:v>segment</x:v>
      </x:c>
      <x:c r="C1" s="4" t="str">
        <x:v>reachable buyers</x:v>
      </x:c>
      <x:c r="D1" s="4" t="str">
        <x:v>wtp mean</x:v>
      </x:c>
      <x:c r="E1" s="4" t="str">
        <x:v>interest mean</x:v>
      </x:c>
    </x:row>
    <x:row r="2">
      <x:c r="A2" s="14" t="n">
        <x:v>1</x:v>
      </x:c>
      <x:c r="B2" s="6" t="str">
        <x:v>Design-led professionals</x:v>
      </x:c>
      <x:c r="C2" s="14" t="n">
        <x:v>45000</x:v>
      </x:c>
      <x:c r="D2" s="14" t="n">
        <x:v>1300</x:v>
      </x:c>
      <x:c r="E2" s="7" t="n">
        <x:v>0.76</x:v>
      </x:c>
    </x:row>
    <x:row r="3">
      <x:c r="A3" s="14" t="n">
        <x:v>2</x:v>
      </x:c>
      <x:c r="B3" s="6" t="str">
        <x:v>Wellness enthusiasts</x:v>
      </x:c>
      <x:c r="C3" s="14" t="n">
        <x:v>55000</x:v>
      </x:c>
      <x:c r="D3" s="14" t="n">
        <x:v>850</x:v>
      </x:c>
      <x:c r="E3" s="7" t="n">
        <x:v>0.85</x:v>
      </x:c>
    </x:row>
    <x:row r="4">
      <x:c r="A4" s="14" t="n">
        <x:v>3</x:v>
      </x:c>
      <x:c r="B4" s="6" t="str">
        <x:v>Heritage collectors</x:v>
      </x:c>
      <x:c r="C4" s="14" t="n">
        <x:v>20000</x:v>
      </x:c>
      <x:c r="D4" s="14" t="n">
        <x:v>2200</x:v>
      </x:c>
      <x:c r="E4" s="7" t="n">
        <x:v>0.43</x:v>
      </x:c>
    </x:row>
    <x:row r="5">
      <x:c r="A5" s="14" t="n">
        <x:v>4</x:v>
      </x:c>
      <x:c r="B5" s="6" t="str">
        <x:v>Value-focused tech buyers</x:v>
      </x:c>
      <x:c r="C5" s="14" t="n">
        <x:v>80000</x:v>
      </x:c>
      <x:c r="D5" s="14" t="n">
        <x:v>550</x:v>
      </x:c>
      <x:c r="E5" s="7" t="n">
        <x:v>0.82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2" customHeight="1">
      <x:c r="A1" s="4" t="str">
        <x:v>strategy id</x:v>
      </x:c>
      <x:c r="B1" s="4" t="str">
        <x:v>strategy</x:v>
      </x:c>
      <x:c r="C1" s="4" t="str">
        <x:v>price</x:v>
      </x:c>
      <x:c r="D1" s="4" t="str">
        <x:v>realization</x:v>
      </x:c>
      <x:c r="E1" s="4" t="str">
        <x:v>unit cogs</x:v>
      </x:c>
      <x:c r="F1" s="4" t="str">
        <x:v>unit service</x:v>
      </x:c>
      <x:c r="G1" s="4" t="str">
        <x:v>unit acquisition</x:v>
      </x:c>
      <x:c r="H1" s="4" t="str">
        <x:v>initial investment</x:v>
      </x:c>
      <x:c r="I1" s="4" t="str">
        <x:v>annual fixed</x:v>
      </x:c>
      <x:c r="J1" s="4" t="str">
        <x:v>cannibalization rate</x:v>
      </x:c>
      <x:c r="K1" s="4" t="str">
        <x:v>brand haircut</x:v>
      </x:c>
      <x:c r="L1" s="4" t="str">
        <x:v>demand factor</x:v>
      </x:c>
    </x:row>
    <x:row r="2">
      <x:c r="A2" s="14" t="n">
        <x:v>1</x:v>
      </x:c>
      <x:c r="B2" s="6" t="str">
        <x:v>Heritage extension</x:v>
      </x:c>
      <x:c r="C2" s="6" t="n">
        <x:v>1800</x:v>
      </x:c>
      <x:c r="D2" s="7" t="n">
        <x:v>0.86</x:v>
      </x:c>
      <x:c r="E2" s="6" t="n">
        <x:v>620</x:v>
      </x:c>
      <x:c r="F2" s="6" t="n">
        <x:v>100</x:v>
      </x:c>
      <x:c r="G2" s="6" t="n">
        <x:v>90</x:v>
      </x:c>
      <x:c r="H2" s="6" t="n">
        <x:v>3000000</x:v>
      </x:c>
      <x:c r="I2" s="6" t="n">
        <x:v>1500000</x:v>
      </x:c>
      <x:c r="J2" s="7" t="n">
        <x:v>0.06</x:v>
      </x:c>
      <x:c r="K2" s="7" t="n">
        <x:v>0.015</x:v>
      </x:c>
      <x:c r="L2" s="6" t="n">
        <x:v>0.9</x:v>
      </x:c>
    </x:row>
    <x:row r="3">
      <x:c r="A3" s="14" t="n">
        <x:v>2</x:v>
      </x:c>
      <x:c r="B3" s="6" t="str">
        <x:v>Separate sibling brand</x:v>
      </x:c>
      <x:c r="C3" s="6" t="n">
        <x:v>950</x:v>
      </x:c>
      <x:c r="D3" s="7" t="n">
        <x:v>0.88</x:v>
      </x:c>
      <x:c r="E3" s="6" t="n">
        <x:v>330</x:v>
      </x:c>
      <x:c r="F3" s="6" t="n">
        <x:v>75</x:v>
      </x:c>
      <x:c r="G3" s="6" t="n">
        <x:v>95</x:v>
      </x:c>
      <x:c r="H3" s="6" t="n">
        <x:v>4000000</x:v>
      </x:c>
      <x:c r="I3" s="6" t="n">
        <x:v>1800000</x:v>
      </x:c>
      <x:c r="J3" s="7" t="n">
        <x:v>0.012</x:v>
      </x:c>
      <x:c r="K3" s="7" t="n">
        <x:v>0.002</x:v>
      </x:c>
      <x:c r="L3" s="6" t="n">
        <x:v>1</x:v>
      </x:c>
    </x:row>
    <x:row r="4">
      <x:c r="A4" s="14" t="n">
        <x:v>3</x:v>
      </x:c>
      <x:c r="B4" s="6" t="str">
        <x:v>Co-brand partnership</x:v>
      </x:c>
      <x:c r="C4" s="6" t="n">
        <x:v>1250</x:v>
      </x:c>
      <x:c r="D4" s="7" t="n">
        <x:v>0.78</x:v>
      </x:c>
      <x:c r="E4" s="6" t="n">
        <x:v>430</x:v>
      </x:c>
      <x:c r="F4" s="6" t="n">
        <x:v>65</x:v>
      </x:c>
      <x:c r="G4" s="6" t="n">
        <x:v>55</x:v>
      </x:c>
      <x:c r="H4" s="6" t="n">
        <x:v>2000000</x:v>
      </x:c>
      <x:c r="I4" s="6" t="n">
        <x:v>1100000</x:v>
      </x:c>
      <x:c r="J4" s="7" t="n">
        <x:v>0.022</x:v>
      </x:c>
      <x:c r="K4" s="7" t="n">
        <x:v>0.006</x:v>
      </x:c>
      <x:c r="L4" s="6" t="n">
        <x:v>1.05</x:v>
      </x:c>
    </x:row>
    <x:row r="5">
      <x:c r="A5" s="14" t="n">
        <x:v>4</x:v>
      </x:c>
      <x:c r="B5" s="6" t="str">
        <x:v>Heritage licensing</x:v>
      </x:c>
      <x:c r="C5" s="6" t="n">
        <x:v>800</x:v>
      </x:c>
      <x:c r="D5" s="7" t="n">
        <x:v>0.1</x:v>
      </x:c>
      <x:c r="E5" s="6" t="n">
        <x:v>0</x:v>
      </x:c>
      <x:c r="F5" s="6" t="n">
        <x:v>8</x:v>
      </x:c>
      <x:c r="G5" s="6" t="n">
        <x:v>0</x:v>
      </x:c>
      <x:c r="H5" s="6" t="n">
        <x:v>600000</x:v>
      </x:c>
      <x:c r="I5" s="6" t="n">
        <x:v>350000</x:v>
      </x:c>
      <x:c r="J5" s="7" t="n">
        <x:v>0.035</x:v>
      </x:c>
      <x:c r="K5" s="7" t="n">
        <x:v>0.012</x:v>
      </x:c>
      <x:c r="L5" s="6" t="n">
        <x:v>1.2</x:v>
      </x:c>
    </x:row>
    <x:row r="6">
      <x:c r="A6" s="14" t="n">
        <x:v>5</x:v>
      </x:c>
      <x:c r="B6" s="6" t="str">
        <x:v>Modular hybrid</x:v>
      </x:c>
      <x:c r="C6" s="6" t="n">
        <x:v>1500</x:v>
      </x:c>
      <x:c r="D6" s="7" t="n">
        <x:v>0.86</x:v>
      </x:c>
      <x:c r="E6" s="6" t="n">
        <x:v>540</x:v>
      </x:c>
      <x:c r="F6" s="6" t="n">
        <x:v>90</x:v>
      </x:c>
      <x:c r="G6" s="6" t="n">
        <x:v>65</x:v>
      </x:c>
      <x:c r="H6" s="6" t="n">
        <x:v>2500000</x:v>
      </x:c>
      <x:c r="I6" s="6" t="n">
        <x:v>1100000</x:v>
      </x:c>
      <x:c r="J6" s="7" t="n">
        <x:v>0.018</x:v>
      </x:c>
      <x:c r="K6" s="7" t="n">
        <x:v>0.004</x:v>
      </x:c>
      <x:c r="L6" s="6" t="n">
        <x:v>0.85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scenario id</x:v>
      </x:c>
      <x:c r="B1" s="4" t="str">
        <x:v>scenario</x:v>
      </x:c>
      <x:c r="C1" s="4" t="str">
        <x:v>volume factor</x:v>
      </x:c>
      <x:c r="D1" s="4" t="str">
        <x:v>cost factor</x:v>
      </x:c>
      <x:c r="E1" s="4" t="str">
        <x:v>risk factor</x:v>
      </x:c>
    </x:row>
    <x:row r="2">
      <x:c r="A2" s="14" t="n">
        <x:v>1</x:v>
      </x:c>
      <x:c r="B2" s="6" t="str">
        <x:v>Downside</x:v>
      </x:c>
      <x:c r="C2" s="7" t="n">
        <x:v>0.7</x:v>
      </x:c>
      <x:c r="D2" s="7" t="n">
        <x:v>1.1</x:v>
      </x:c>
      <x:c r="E2" s="7" t="n">
        <x:v>1.5</x:v>
      </x:c>
    </x:row>
    <x:row r="3">
      <x:c r="A3" s="14" t="n">
        <x:v>2</x:v>
      </x:c>
      <x:c r="B3" s="6" t="str">
        <x:v>Base</x:v>
      </x:c>
      <x:c r="C3" s="7" t="n">
        <x:v>1</x:v>
      </x:c>
      <x:c r="D3" s="7" t="n">
        <x:v>1</x:v>
      </x:c>
      <x:c r="E3" s="7" t="n">
        <x:v>1</x:v>
      </x:c>
    </x:row>
    <x:row r="4">
      <x:c r="A4" s="14" t="n">
        <x:v>3</x:v>
      </x:c>
      <x:c r="B4" s="6" t="str">
        <x:v>Upside</x:v>
      </x:c>
      <x:c r="C4" s="7" t="n">
        <x:v>1.2</x:v>
      </x:c>
      <x:c r="D4" s="7" t="n">
        <x:v>0.95</x:v>
      </x:c>
      <x:c r="E4" s="7" t="n">
        <x:v>0.75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42" customHeight="1">
      <x:c r="A1" s="4" t="str">
        <x:v>year</x:v>
      </x:c>
      <x:c r="B1" s="4" t="str">
        <x:v>period</x:v>
      </x:c>
      <x:c r="C1" s="4" t="str">
        <x:v>ramp</x:v>
      </x:c>
    </x:row>
    <x:row r="2">
      <x:c r="A2" s="14" t="n">
        <x:v>2027</x:v>
      </x:c>
      <x:c r="B2" s="14" t="n">
        <x:v>1</x:v>
      </x:c>
      <x:c r="C2" s="6" t="n">
        <x:v>0.6</x:v>
      </x:c>
    </x:row>
    <x:row r="3">
      <x:c r="A3" s="14" t="n">
        <x:v>2028</x:v>
      </x:c>
      <x:c r="B3" s="14" t="n">
        <x:v>2</x:v>
      </x:c>
      <x:c r="C3" s="6" t="n">
        <x:v>1</x:v>
      </x:c>
    </x:row>
    <x:row r="4">
      <x:c r="A4" s="14" t="n">
        <x:v>2029</x:v>
      </x:c>
      <x:c r="B4" s="14" t="n">
        <x:v>3</x:v>
      </x:c>
      <x:c r="C4" s="6" t="n">
        <x:v>1.3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2" customHeight="1">
      <x:c r="A1" s="4" t="str">
        <x:v>assumption id</x:v>
      </x:c>
      <x:c r="B1" s="4" t="str">
        <x:v>discount rate</x:v>
      </x:c>
      <x:c r="C1" s="4" t="str">
        <x:v>conversion calibration</x:v>
      </x:c>
      <x:c r="D1" s="4" t="str">
        <x:v>mechanical units</x:v>
      </x:c>
      <x:c r="E1" s="4" t="str">
        <x:v>mechanical net price</x:v>
      </x:c>
      <x:c r="F1" s="4" t="str">
        <x:v>mechanical margin</x:v>
      </x:c>
      <x:c r="G1" s="4" t="str">
        <x:v>max cannibalization</x:v>
      </x:c>
      <x:c r="H1" s="4" t="str">
        <x:v>max brand haircut</x:v>
      </x:c>
    </x:row>
    <x:row r="2">
      <x:c r="A2" s="14" t="n">
        <x:v>1</x:v>
      </x:c>
      <x:c r="B2" s="7" t="n">
        <x:v>0.12</x:v>
      </x:c>
      <x:c r="C2" s="7" t="n">
        <x:v>0.12</x:v>
      </x:c>
      <x:c r="D2" s="14" t="n">
        <x:v>10000</x:v>
      </x:c>
      <x:c r="E2" s="14" t="n">
        <x:v>6000</x:v>
      </x:c>
      <x:c r="F2" s="7" t="n">
        <x:v>0.65</x:v>
      </x:c>
      <x:c r="G2" s="7" t="n">
        <x:v>0.02</x:v>
      </x:c>
      <x:c r="H2" s="7" t="n">
        <x:v>0.005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21" hidden="0" customWidth="1"/>
  </x:cols>
  <x:sheetData>
    <x:row r="1" ht="42" customHeight="1">
      <x:c r="A1" s="4" t="str">
        <x:v>respondent id</x:v>
      </x:c>
      <x:c r="B1" s="4" t="str">
        <x:v>segment id</x:v>
      </x:c>
      <x:c r="C1" s="4" t="str">
        <x:v>max wtp</x:v>
      </x:c>
      <x:c r="D1" s="4" t="str">
        <x:v>heritage owner</x:v>
      </x:c>
      <x:c r="E1" s="4" t="str">
        <x:v>preferred channel</x:v>
      </x:c>
      <x:c r="F1" s="13" t="str">
        <x:v>Sibling interest</x:v>
      </x:c>
    </x:row>
    <x:row r="2">
      <x:c r="A2" s="14" t="n">
        <x:v>1</x:v>
      </x:c>
      <x:c r="B2" s="14" t="n">
        <x:v>1</x:v>
      </x:c>
      <x:c r="C2" s="14" t="n">
        <x:v>1100</x:v>
      </x:c>
      <x:c r="D2" s="14" t="n">
        <x:v>0</x:v>
      </x:c>
      <x:c r="E2" s="6" t="str">
        <x:v>Boutique</x:v>
      </x:c>
      <x:c r="F2" s="15" t="n">
        <x:f>SUMIFS('Responses'!$C$2:$C$601,'Responses'!$A$2:$A$601,A2,'Responses'!$B$2:$B$601,'Strategies'!$A$3)</x:f>
        <x:v>1</x:v>
      </x:c>
    </x:row>
    <x:row r="3">
      <x:c r="A3" s="14" t="n">
        <x:v>2</x:v>
      </x:c>
      <x:c r="B3" s="14" t="n">
        <x:v>1</x:v>
      </x:c>
      <x:c r="C3" s="14" t="n">
        <x:v>1050</x:v>
      </x:c>
      <x:c r="D3" s="14" t="n">
        <x:v>0</x:v>
      </x:c>
      <x:c r="E3" s="6" t="str">
        <x:v>Online</x:v>
      </x:c>
      <x:c r="F3" s="15" t="n">
        <x:f>SUMIFS('Responses'!$C$2:$C$601,'Responses'!$A$2:$A$601,A3,'Responses'!$B$2:$B$601,'Strategies'!$A$3)</x:f>
        <x:v>1</x:v>
      </x:c>
    </x:row>
    <x:row r="4">
      <x:c r="A4" s="14" t="n">
        <x:v>3</x:v>
      </x:c>
      <x:c r="B4" s="14" t="n">
        <x:v>1</x:v>
      </x:c>
      <x:c r="C4" s="14" t="n">
        <x:v>1000</x:v>
      </x:c>
      <x:c r="D4" s="14" t="n">
        <x:v>1</x:v>
      </x:c>
      <x:c r="E4" s="6" t="str">
        <x:v>Online</x:v>
      </x:c>
      <x:c r="F4" s="15" t="n">
        <x:f>SUMIFS('Responses'!$C$2:$C$601,'Responses'!$A$2:$A$601,A4,'Responses'!$B$2:$B$601,'Strategies'!$A$3)</x:f>
        <x:v>1</x:v>
      </x:c>
    </x:row>
    <x:row r="5">
      <x:c r="A5" s="14" t="n">
        <x:v>4</x:v>
      </x:c>
      <x:c r="B5" s="14" t="n">
        <x:v>1</x:v>
      </x:c>
      <x:c r="C5" s="14" t="n">
        <x:v>700</x:v>
      </x:c>
      <x:c r="D5" s="14" t="n">
        <x:v>0</x:v>
      </x:c>
      <x:c r="E5" s="6" t="str">
        <x:v>Online</x:v>
      </x:c>
      <x:c r="F5" s="15" t="n">
        <x:f>SUMIFS('Responses'!$C$2:$C$601,'Responses'!$A$2:$A$601,A5,'Responses'!$B$2:$B$601,'Strategies'!$A$3)</x:f>
        <x:v>1</x:v>
      </x:c>
    </x:row>
    <x:row r="6">
      <x:c r="A6" s="14" t="n">
        <x:v>5</x:v>
      </x:c>
      <x:c r="B6" s="14" t="n">
        <x:v>1</x:v>
      </x:c>
      <x:c r="C6" s="14" t="n">
        <x:v>1100</x:v>
      </x:c>
      <x:c r="D6" s="14" t="n">
        <x:v>0</x:v>
      </x:c>
      <x:c r="E6" s="6" t="str">
        <x:v>Online</x:v>
      </x:c>
      <x:c r="F6" s="15" t="n">
        <x:f>SUMIFS('Responses'!$C$2:$C$601,'Responses'!$A$2:$A$601,A6,'Responses'!$B$2:$B$601,'Strategies'!$A$3)</x:f>
        <x:v>0</x:v>
      </x:c>
    </x:row>
    <x:row r="7">
      <x:c r="A7" s="14" t="n">
        <x:v>6</x:v>
      </x:c>
      <x:c r="B7" s="14" t="n">
        <x:v>1</x:v>
      </x:c>
      <x:c r="C7" s="14" t="n">
        <x:v>1150</x:v>
      </x:c>
      <x:c r="D7" s="14" t="n">
        <x:v>0</x:v>
      </x:c>
      <x:c r="E7" s="6" t="str">
        <x:v>Online</x:v>
      </x:c>
      <x:c r="F7" s="15" t="n">
        <x:f>SUMIFS('Responses'!$C$2:$C$601,'Responses'!$A$2:$A$601,A7,'Responses'!$B$2:$B$601,'Strategies'!$A$3)</x:f>
        <x:v>1</x:v>
      </x:c>
    </x:row>
    <x:row r="8">
      <x:c r="A8" s="14" t="n">
        <x:v>7</x:v>
      </x:c>
      <x:c r="B8" s="14" t="n">
        <x:v>1</x:v>
      </x:c>
      <x:c r="C8" s="14" t="n">
        <x:v>1000</x:v>
      </x:c>
      <x:c r="D8" s="14" t="n">
        <x:v>0</x:v>
      </x:c>
      <x:c r="E8" s="6" t="str">
        <x:v>Online</x:v>
      </x:c>
      <x:c r="F8" s="15" t="n">
        <x:f>SUMIFS('Responses'!$C$2:$C$601,'Responses'!$A$2:$A$601,A8,'Responses'!$B$2:$B$601,'Strategies'!$A$3)</x:f>
        <x:v>1</x:v>
      </x:c>
    </x:row>
    <x:row r="9">
      <x:c r="A9" s="14" t="n">
        <x:v>8</x:v>
      </x:c>
      <x:c r="B9" s="14" t="n">
        <x:v>1</x:v>
      </x:c>
      <x:c r="C9" s="14" t="n">
        <x:v>950</x:v>
      </x:c>
      <x:c r="D9" s="14" t="n">
        <x:v>1</x:v>
      </x:c>
      <x:c r="E9" s="6" t="str">
        <x:v>Specialist retail</x:v>
      </x:c>
      <x:c r="F9" s="15" t="n">
        <x:f>SUMIFS('Responses'!$C$2:$C$601,'Responses'!$A$2:$A$601,A9,'Responses'!$B$2:$B$601,'Strategies'!$A$3)</x:f>
        <x:v>1</x:v>
      </x:c>
    </x:row>
    <x:row r="10">
      <x:c r="A10" s="14" t="n">
        <x:v>9</x:v>
      </x:c>
      <x:c r="B10" s="14" t="n">
        <x:v>1</x:v>
      </x:c>
      <x:c r="C10" s="14" t="n">
        <x:v>650</x:v>
      </x:c>
      <x:c r="D10" s="14" t="n">
        <x:v>1</x:v>
      </x:c>
      <x:c r="E10" s="6" t="str">
        <x:v>Online</x:v>
      </x:c>
      <x:c r="F10" s="15" t="n">
        <x:f>SUMIFS('Responses'!$C$2:$C$601,'Responses'!$A$2:$A$601,A10,'Responses'!$B$2:$B$601,'Strategies'!$A$3)</x:f>
        <x:v>1</x:v>
      </x:c>
    </x:row>
    <x:row r="11">
      <x:c r="A11" s="14" t="n">
        <x:v>10</x:v>
      </x:c>
      <x:c r="B11" s="14" t="n">
        <x:v>1</x:v>
      </x:c>
      <x:c r="C11" s="14" t="n">
        <x:v>1850</x:v>
      </x:c>
      <x:c r="D11" s="14" t="n">
        <x:v>0</x:v>
      </x:c>
      <x:c r="E11" s="6" t="str">
        <x:v>Boutique</x:v>
      </x:c>
      <x:c r="F11" s="15" t="n">
        <x:f>SUMIFS('Responses'!$C$2:$C$601,'Responses'!$A$2:$A$601,A11,'Responses'!$B$2:$B$601,'Strategies'!$A$3)</x:f>
        <x:v>1</x:v>
      </x:c>
    </x:row>
    <x:row r="12">
      <x:c r="A12" s="14" t="n">
        <x:v>11</x:v>
      </x:c>
      <x:c r="B12" s="14" t="n">
        <x:v>1</x:v>
      </x:c>
      <x:c r="C12" s="14" t="n">
        <x:v>1250</x:v>
      </x:c>
      <x:c r="D12" s="14" t="n">
        <x:v>0</x:v>
      </x:c>
      <x:c r="E12" s="6" t="str">
        <x:v>Boutique</x:v>
      </x:c>
      <x:c r="F12" s="15" t="n">
        <x:f>SUMIFS('Responses'!$C$2:$C$601,'Responses'!$A$2:$A$601,A12,'Responses'!$B$2:$B$601,'Strategies'!$A$3)</x:f>
        <x:v>0</x:v>
      </x:c>
    </x:row>
    <x:row r="13">
      <x:c r="A13" s="14" t="n">
        <x:v>12</x:v>
      </x:c>
      <x:c r="B13" s="14" t="n">
        <x:v>1</x:v>
      </x:c>
      <x:c r="C13" s="14" t="n">
        <x:v>1500</x:v>
      </x:c>
      <x:c r="D13" s="14" t="n">
        <x:v>1</x:v>
      </x:c>
      <x:c r="E13" s="6" t="str">
        <x:v>Online</x:v>
      </x:c>
      <x:c r="F13" s="15" t="n">
        <x:f>SUMIFS('Responses'!$C$2:$C$601,'Responses'!$A$2:$A$601,A13,'Responses'!$B$2:$B$601,'Strategies'!$A$3)</x:f>
        <x:v>1</x:v>
      </x:c>
    </x:row>
    <x:row r="14">
      <x:c r="A14" s="14" t="n">
        <x:v>13</x:v>
      </x:c>
      <x:c r="B14" s="14" t="n">
        <x:v>1</x:v>
      </x:c>
      <x:c r="C14" s="14" t="n">
        <x:v>1150</x:v>
      </x:c>
      <x:c r="D14" s="14" t="n">
        <x:v>0</x:v>
      </x:c>
      <x:c r="E14" s="6" t="str">
        <x:v>Online</x:v>
      </x:c>
      <x:c r="F14" s="15" t="n">
        <x:f>SUMIFS('Responses'!$C$2:$C$601,'Responses'!$A$2:$A$601,A14,'Responses'!$B$2:$B$601,'Strategies'!$A$3)</x:f>
        <x:v>0</x:v>
      </x:c>
    </x:row>
    <x:row r="15">
      <x:c r="A15" s="14" t="n">
        <x:v>14</x:v>
      </x:c>
      <x:c r="B15" s="14" t="n">
        <x:v>1</x:v>
      </x:c>
      <x:c r="C15" s="14" t="n">
        <x:v>1500</x:v>
      </x:c>
      <x:c r="D15" s="14" t="n">
        <x:v>0</x:v>
      </x:c>
      <x:c r="E15" s="6" t="str">
        <x:v>Specialist retail</x:v>
      </x:c>
      <x:c r="F15" s="15" t="n">
        <x:f>SUMIFS('Responses'!$C$2:$C$601,'Responses'!$A$2:$A$601,A15,'Responses'!$B$2:$B$601,'Strategies'!$A$3)</x:f>
        <x:v>1</x:v>
      </x:c>
    </x:row>
    <x:row r="16">
      <x:c r="A16" s="14" t="n">
        <x:v>15</x:v>
      </x:c>
      <x:c r="B16" s="14" t="n">
        <x:v>1</x:v>
      </x:c>
      <x:c r="C16" s="14" t="n">
        <x:v>2150</x:v>
      </x:c>
      <x:c r="D16" s="14" t="n">
        <x:v>0</x:v>
      </x:c>
      <x:c r="E16" s="6" t="str">
        <x:v>Online</x:v>
      </x:c>
      <x:c r="F16" s="15" t="n">
        <x:f>SUMIFS('Responses'!$C$2:$C$601,'Responses'!$A$2:$A$601,A16,'Responses'!$B$2:$B$601,'Strategies'!$A$3)</x:f>
        <x:v>1</x:v>
      </x:c>
    </x:row>
    <x:row r="17">
      <x:c r="A17" s="14" t="n">
        <x:v>16</x:v>
      </x:c>
      <x:c r="B17" s="14" t="n">
        <x:v>1</x:v>
      </x:c>
      <x:c r="C17" s="14" t="n">
        <x:v>1050</x:v>
      </x:c>
      <x:c r="D17" s="14" t="n">
        <x:v>0</x:v>
      </x:c>
      <x:c r="E17" s="6" t="str">
        <x:v>Online</x:v>
      </x:c>
      <x:c r="F17" s="15" t="n">
        <x:f>SUMIFS('Responses'!$C$2:$C$601,'Responses'!$A$2:$A$601,A17,'Responses'!$B$2:$B$601,'Strategies'!$A$3)</x:f>
        <x:v>1</x:v>
      </x:c>
    </x:row>
    <x:row r="18">
      <x:c r="A18" s="14" t="n">
        <x:v>17</x:v>
      </x:c>
      <x:c r="B18" s="14" t="n">
        <x:v>1</x:v>
      </x:c>
      <x:c r="C18" s="14" t="n">
        <x:v>1300</x:v>
      </x:c>
      <x:c r="D18" s="14" t="n">
        <x:v>0</x:v>
      </x:c>
      <x:c r="E18" s="6" t="str">
        <x:v>Specialist retail</x:v>
      </x:c>
      <x:c r="F18" s="15" t="n">
        <x:f>SUMIFS('Responses'!$C$2:$C$601,'Responses'!$A$2:$A$601,A18,'Responses'!$B$2:$B$601,'Strategies'!$A$3)</x:f>
        <x:v>1</x:v>
      </x:c>
    </x:row>
    <x:row r="19">
      <x:c r="A19" s="14" t="n">
        <x:v>18</x:v>
      </x:c>
      <x:c r="B19" s="14" t="n">
        <x:v>1</x:v>
      </x:c>
      <x:c r="C19" s="14" t="n">
        <x:v>1200</x:v>
      </x:c>
      <x:c r="D19" s="14" t="n">
        <x:v>0</x:v>
      </x:c>
      <x:c r="E19" s="6" t="str">
        <x:v>Boutique</x:v>
      </x:c>
      <x:c r="F19" s="15" t="n">
        <x:f>SUMIFS('Responses'!$C$2:$C$601,'Responses'!$A$2:$A$601,A19,'Responses'!$B$2:$B$601,'Strategies'!$A$3)</x:f>
        <x:v>1</x:v>
      </x:c>
    </x:row>
    <x:row r="20">
      <x:c r="A20" s="14" t="n">
        <x:v>19</x:v>
      </x:c>
      <x:c r="B20" s="14" t="n">
        <x:v>1</x:v>
      </x:c>
      <x:c r="C20" s="14" t="n">
        <x:v>1750</x:v>
      </x:c>
      <x:c r="D20" s="14" t="n">
        <x:v>1</x:v>
      </x:c>
      <x:c r="E20" s="6" t="str">
        <x:v>Boutique</x:v>
      </x:c>
      <x:c r="F20" s="15" t="n">
        <x:f>SUMIFS('Responses'!$C$2:$C$601,'Responses'!$A$2:$A$601,A20,'Responses'!$B$2:$B$601,'Strategies'!$A$3)</x:f>
        <x:v>1</x:v>
      </x:c>
    </x:row>
    <x:row r="21">
      <x:c r="A21" s="14" t="n">
        <x:v>20</x:v>
      </x:c>
      <x:c r="B21" s="14" t="n">
        <x:v>1</x:v>
      </x:c>
      <x:c r="C21" s="14" t="n">
        <x:v>700</x:v>
      </x:c>
      <x:c r="D21" s="14" t="n">
        <x:v>0</x:v>
      </x:c>
      <x:c r="E21" s="6" t="str">
        <x:v>Online</x:v>
      </x:c>
      <x:c r="F21" s="15" t="n">
        <x:f>SUMIFS('Responses'!$C$2:$C$601,'Responses'!$A$2:$A$601,A21,'Responses'!$B$2:$B$601,'Strategies'!$A$3)</x:f>
        <x:v>1</x:v>
      </x:c>
    </x:row>
    <x:row r="22">
      <x:c r="A22" s="14" t="n">
        <x:v>21</x:v>
      </x:c>
      <x:c r="B22" s="14" t="n">
        <x:v>1</x:v>
      </x:c>
      <x:c r="C22" s="14" t="n">
        <x:v>1900</x:v>
      </x:c>
      <x:c r="D22" s="14" t="n">
        <x:v>0</x:v>
      </x:c>
      <x:c r="E22" s="6" t="str">
        <x:v>Online</x:v>
      </x:c>
      <x:c r="F22" s="15" t="n">
        <x:f>SUMIFS('Responses'!$C$2:$C$601,'Responses'!$A$2:$A$601,A22,'Responses'!$B$2:$B$601,'Strategies'!$A$3)</x:f>
        <x:v>1</x:v>
      </x:c>
    </x:row>
    <x:row r="23">
      <x:c r="A23" s="14" t="n">
        <x:v>22</x:v>
      </x:c>
      <x:c r="B23" s="14" t="n">
        <x:v>1</x:v>
      </x:c>
      <x:c r="C23" s="14" t="n">
        <x:v>1250</x:v>
      </x:c>
      <x:c r="D23" s="14" t="n">
        <x:v>0</x:v>
      </x:c>
      <x:c r="E23" s="6" t="str">
        <x:v>Specialist retail</x:v>
      </x:c>
      <x:c r="F23" s="15" t="n">
        <x:f>SUMIFS('Responses'!$C$2:$C$601,'Responses'!$A$2:$A$601,A23,'Responses'!$B$2:$B$601,'Strategies'!$A$3)</x:f>
        <x:v>1</x:v>
      </x:c>
    </x:row>
    <x:row r="24">
      <x:c r="A24" s="14" t="n">
        <x:v>23</x:v>
      </x:c>
      <x:c r="B24" s="14" t="n">
        <x:v>1</x:v>
      </x:c>
      <x:c r="C24" s="14" t="n">
        <x:v>900</x:v>
      </x:c>
      <x:c r="D24" s="14" t="n">
        <x:v>0</x:v>
      </x:c>
      <x:c r="E24" s="6" t="str">
        <x:v>Boutique</x:v>
      </x:c>
      <x:c r="F24" s="15" t="n">
        <x:f>SUMIFS('Responses'!$C$2:$C$601,'Responses'!$A$2:$A$601,A24,'Responses'!$B$2:$B$601,'Strategies'!$A$3)</x:f>
        <x:v>1</x:v>
      </x:c>
    </x:row>
    <x:row r="25">
      <x:c r="A25" s="14" t="n">
        <x:v>24</x:v>
      </x:c>
      <x:c r="B25" s="14" t="n">
        <x:v>1</x:v>
      </x:c>
      <x:c r="C25" s="14" t="n">
        <x:v>1400</x:v>
      </x:c>
      <x:c r="D25" s="14" t="n">
        <x:v>0</x:v>
      </x:c>
      <x:c r="E25" s="6" t="str">
        <x:v>Online</x:v>
      </x:c>
      <x:c r="F25" s="15" t="n">
        <x:f>SUMIFS('Responses'!$C$2:$C$601,'Responses'!$A$2:$A$601,A25,'Responses'!$B$2:$B$601,'Strategies'!$A$3)</x:f>
        <x:v>1</x:v>
      </x:c>
    </x:row>
    <x:row r="26">
      <x:c r="A26" s="14" t="n">
        <x:v>25</x:v>
      </x:c>
      <x:c r="B26" s="14" t="n">
        <x:v>1</x:v>
      </x:c>
      <x:c r="C26" s="14" t="n">
        <x:v>2200</x:v>
      </x:c>
      <x:c r="D26" s="14" t="n">
        <x:v>0</x:v>
      </x:c>
      <x:c r="E26" s="6" t="str">
        <x:v>Online</x:v>
      </x:c>
      <x:c r="F26" s="15" t="n">
        <x:f>SUMIFS('Responses'!$C$2:$C$601,'Responses'!$A$2:$A$601,A26,'Responses'!$B$2:$B$601,'Strategies'!$A$3)</x:f>
        <x:v>1</x:v>
      </x:c>
    </x:row>
    <x:row r="27">
      <x:c r="A27" s="14" t="n">
        <x:v>26</x:v>
      </x:c>
      <x:c r="B27" s="14" t="n">
        <x:v>1</x:v>
      </x:c>
      <x:c r="C27" s="14" t="n">
        <x:v>1150</x:v>
      </x:c>
      <x:c r="D27" s="14" t="n">
        <x:v>0</x:v>
      </x:c>
      <x:c r="E27" s="6" t="str">
        <x:v>Specialist retail</x:v>
      </x:c>
      <x:c r="F27" s="15" t="n">
        <x:f>SUMIFS('Responses'!$C$2:$C$601,'Responses'!$A$2:$A$601,A27,'Responses'!$B$2:$B$601,'Strategies'!$A$3)</x:f>
        <x:v>1</x:v>
      </x:c>
    </x:row>
    <x:row r="28">
      <x:c r="A28" s="14" t="n">
        <x:v>27</x:v>
      </x:c>
      <x:c r="B28" s="14" t="n">
        <x:v>1</x:v>
      </x:c>
      <x:c r="C28" s="14" t="n">
        <x:v>1350</x:v>
      </x:c>
      <x:c r="D28" s="14" t="n">
        <x:v>0</x:v>
      </x:c>
      <x:c r="E28" s="6" t="str">
        <x:v>Boutique</x:v>
      </x:c>
      <x:c r="F28" s="15" t="n">
        <x:f>SUMIFS('Responses'!$C$2:$C$601,'Responses'!$A$2:$A$601,A28,'Responses'!$B$2:$B$601,'Strategies'!$A$3)</x:f>
        <x:v>0</x:v>
      </x:c>
    </x:row>
    <x:row r="29">
      <x:c r="A29" s="14" t="n">
        <x:v>28</x:v>
      </x:c>
      <x:c r="B29" s="14" t="n">
        <x:v>1</x:v>
      </x:c>
      <x:c r="C29" s="14" t="n">
        <x:v>1850</x:v>
      </x:c>
      <x:c r="D29" s="14" t="n">
        <x:v>0</x:v>
      </x:c>
      <x:c r="E29" s="6" t="str">
        <x:v>Specialist retail</x:v>
      </x:c>
      <x:c r="F29" s="15" t="n">
        <x:f>SUMIFS('Responses'!$C$2:$C$601,'Responses'!$A$2:$A$601,A29,'Responses'!$B$2:$B$601,'Strategies'!$A$3)</x:f>
        <x:v>1</x:v>
      </x:c>
    </x:row>
    <x:row r="30">
      <x:c r="A30" s="14" t="n">
        <x:v>29</x:v>
      </x:c>
      <x:c r="B30" s="14" t="n">
        <x:v>1</x:v>
      </x:c>
      <x:c r="C30" s="14" t="n">
        <x:v>1100</x:v>
      </x:c>
      <x:c r="D30" s="14" t="n">
        <x:v>0</x:v>
      </x:c>
      <x:c r="E30" s="6" t="str">
        <x:v>Online</x:v>
      </x:c>
      <x:c r="F30" s="15" t="n">
        <x:f>SUMIFS('Responses'!$C$2:$C$601,'Responses'!$A$2:$A$601,A30,'Responses'!$B$2:$B$601,'Strategies'!$A$3)</x:f>
        <x:v>1</x:v>
      </x:c>
    </x:row>
    <x:row r="31">
      <x:c r="A31" s="14" t="n">
        <x:v>30</x:v>
      </x:c>
      <x:c r="B31" s="14" t="n">
        <x:v>1</x:v>
      </x:c>
      <x:c r="C31" s="14" t="n">
        <x:v>1450</x:v>
      </x:c>
      <x:c r="D31" s="14" t="n">
        <x:v>1</x:v>
      </x:c>
      <x:c r="E31" s="6" t="str">
        <x:v>Online</x:v>
      </x:c>
      <x:c r="F31" s="15" t="n">
        <x:f>SUMIFS('Responses'!$C$2:$C$601,'Responses'!$A$2:$A$601,A31,'Responses'!$B$2:$B$601,'Strategies'!$A$3)</x:f>
        <x:v>1</x:v>
      </x:c>
    </x:row>
    <x:row r="32">
      <x:c r="A32" s="14" t="n">
        <x:v>31</x:v>
      </x:c>
      <x:c r="B32" s="14" t="n">
        <x:v>2</x:v>
      </x:c>
      <x:c r="C32" s="14" t="n">
        <x:v>1000</x:v>
      </x:c>
      <x:c r="D32" s="14" t="n">
        <x:v>0</x:v>
      </x:c>
      <x:c r="E32" s="6" t="str">
        <x:v>Boutique</x:v>
      </x:c>
      <x:c r="F32" s="15" t="n">
        <x:f>SUMIFS('Responses'!$C$2:$C$601,'Responses'!$A$2:$A$601,A32,'Responses'!$B$2:$B$601,'Strategies'!$A$3)</x:f>
        <x:v>1</x:v>
      </x:c>
    </x:row>
    <x:row r="33">
      <x:c r="A33" s="14" t="n">
        <x:v>32</x:v>
      </x:c>
      <x:c r="B33" s="14" t="n">
        <x:v>2</x:v>
      </x:c>
      <x:c r="C33" s="14" t="n">
        <x:v>650</x:v>
      </x:c>
      <x:c r="D33" s="14" t="n">
        <x:v>0</x:v>
      </x:c>
      <x:c r="E33" s="6" t="str">
        <x:v>Online</x:v>
      </x:c>
      <x:c r="F33" s="15" t="n">
        <x:f>SUMIFS('Responses'!$C$2:$C$601,'Responses'!$A$2:$A$601,A33,'Responses'!$B$2:$B$601,'Strategies'!$A$3)</x:f>
        <x:v>1</x:v>
      </x:c>
    </x:row>
    <x:row r="34">
      <x:c r="A34" s="14" t="n">
        <x:v>33</x:v>
      </x:c>
      <x:c r="B34" s="14" t="n">
        <x:v>2</x:v>
      </x:c>
      <x:c r="C34" s="14" t="n">
        <x:v>500</x:v>
      </x:c>
      <x:c r="D34" s="14" t="n">
        <x:v>1</x:v>
      </x:c>
      <x:c r="E34" s="6" t="str">
        <x:v>Online</x:v>
      </x:c>
      <x:c r="F34" s="15" t="n">
        <x:f>SUMIFS('Responses'!$C$2:$C$601,'Responses'!$A$2:$A$601,A34,'Responses'!$B$2:$B$601,'Strategies'!$A$3)</x:f>
        <x:v>1</x:v>
      </x:c>
    </x:row>
    <x:row r="35">
      <x:c r="A35" s="14" t="n">
        <x:v>34</x:v>
      </x:c>
      <x:c r="B35" s="14" t="n">
        <x:v>2</x:v>
      </x:c>
      <x:c r="C35" s="14" t="n">
        <x:v>700</x:v>
      </x:c>
      <x:c r="D35" s="14" t="n">
        <x:v>1</x:v>
      </x:c>
      <x:c r="E35" s="6" t="str">
        <x:v>Boutique</x:v>
      </x:c>
      <x:c r="F35" s="15" t="n">
        <x:f>SUMIFS('Responses'!$C$2:$C$601,'Responses'!$A$2:$A$601,A35,'Responses'!$B$2:$B$601,'Strategies'!$A$3)</x:f>
        <x:v>1</x:v>
      </x:c>
    </x:row>
    <x:row r="36">
      <x:c r="A36" s="14" t="n">
        <x:v>35</x:v>
      </x:c>
      <x:c r="B36" s="14" t="n">
        <x:v>2</x:v>
      </x:c>
      <x:c r="C36" s="14" t="n">
        <x:v>1050</x:v>
      </x:c>
      <x:c r="D36" s="14" t="n">
        <x:v>0</x:v>
      </x:c>
      <x:c r="E36" s="6" t="str">
        <x:v>Boutique</x:v>
      </x:c>
      <x:c r="F36" s="15" t="n">
        <x:f>SUMIFS('Responses'!$C$2:$C$601,'Responses'!$A$2:$A$601,A36,'Responses'!$B$2:$B$601,'Strategies'!$A$3)</x:f>
        <x:v>1</x:v>
      </x:c>
    </x:row>
    <x:row r="37">
      <x:c r="A37" s="14" t="n">
        <x:v>36</x:v>
      </x:c>
      <x:c r="B37" s="14" t="n">
        <x:v>2</x:v>
      </x:c>
      <x:c r="C37" s="14" t="n">
        <x:v>900</x:v>
      </x:c>
      <x:c r="D37" s="14" t="n">
        <x:v>0</x:v>
      </x:c>
      <x:c r="E37" s="6" t="str">
        <x:v>Specialist retail</x:v>
      </x:c>
      <x:c r="F37" s="15" t="n">
        <x:f>SUMIFS('Responses'!$C$2:$C$601,'Responses'!$A$2:$A$601,A37,'Responses'!$B$2:$B$601,'Strategies'!$A$3)</x:f>
        <x:v>1</x:v>
      </x:c>
    </x:row>
    <x:row r="38">
      <x:c r="A38" s="14" t="n">
        <x:v>37</x:v>
      </x:c>
      <x:c r="B38" s="14" t="n">
        <x:v>2</x:v>
      </x:c>
      <x:c r="C38" s="14" t="n">
        <x:v>1000</x:v>
      </x:c>
      <x:c r="D38" s="14" t="n">
        <x:v>0</x:v>
      </x:c>
      <x:c r="E38" s="6" t="str">
        <x:v>Online</x:v>
      </x:c>
      <x:c r="F38" s="15" t="n">
        <x:f>SUMIFS('Responses'!$C$2:$C$601,'Responses'!$A$2:$A$601,A38,'Responses'!$B$2:$B$601,'Strategies'!$A$3)</x:f>
        <x:v>1</x:v>
      </x:c>
    </x:row>
    <x:row r="39">
      <x:c r="A39" s="14" t="n">
        <x:v>38</x:v>
      </x:c>
      <x:c r="B39" s="14" t="n">
        <x:v>2</x:v>
      </x:c>
      <x:c r="C39" s="14" t="n">
        <x:v>1000</x:v>
      </x:c>
      <x:c r="D39" s="14" t="n">
        <x:v>0</x:v>
      </x:c>
      <x:c r="E39" s="6" t="str">
        <x:v>Specialist retail</x:v>
      </x:c>
      <x:c r="F39" s="15" t="n">
        <x:f>SUMIFS('Responses'!$C$2:$C$601,'Responses'!$A$2:$A$601,A39,'Responses'!$B$2:$B$601,'Strategies'!$A$3)</x:f>
        <x:v>1</x:v>
      </x:c>
    </x:row>
    <x:row r="40">
      <x:c r="A40" s="14" t="n">
        <x:v>39</x:v>
      </x:c>
      <x:c r="B40" s="14" t="n">
        <x:v>2</x:v>
      </x:c>
      <x:c r="C40" s="14" t="n">
        <x:v>750</x:v>
      </x:c>
      <x:c r="D40" s="14" t="n">
        <x:v>0</x:v>
      </x:c>
      <x:c r="E40" s="6" t="str">
        <x:v>Online</x:v>
      </x:c>
      <x:c r="F40" s="15" t="n">
        <x:f>SUMIFS('Responses'!$C$2:$C$601,'Responses'!$A$2:$A$601,A40,'Responses'!$B$2:$B$601,'Strategies'!$A$3)</x:f>
        <x:v>1</x:v>
      </x:c>
    </x:row>
    <x:row r="41">
      <x:c r="A41" s="14" t="n">
        <x:v>40</x:v>
      </x:c>
      <x:c r="B41" s="14" t="n">
        <x:v>2</x:v>
      </x:c>
      <x:c r="C41" s="14" t="n">
        <x:v>950</x:v>
      </x:c>
      <x:c r="D41" s="14" t="n">
        <x:v>1</x:v>
      </x:c>
      <x:c r="E41" s="6" t="str">
        <x:v>Online</x:v>
      </x:c>
      <x:c r="F41" s="15" t="n">
        <x:f>SUMIFS('Responses'!$C$2:$C$601,'Responses'!$A$2:$A$601,A41,'Responses'!$B$2:$B$601,'Strategies'!$A$3)</x:f>
        <x:v>1</x:v>
      </x:c>
    </x:row>
    <x:row r="42">
      <x:c r="A42" s="14" t="n">
        <x:v>41</x:v>
      </x:c>
      <x:c r="B42" s="14" t="n">
        <x:v>2</x:v>
      </x:c>
      <x:c r="C42" s="14" t="n">
        <x:v>950</x:v>
      </x:c>
      <x:c r="D42" s="14" t="n">
        <x:v>1</x:v>
      </x:c>
      <x:c r="E42" s="6" t="str">
        <x:v>Boutique</x:v>
      </x:c>
      <x:c r="F42" s="15" t="n">
        <x:f>SUMIFS('Responses'!$C$2:$C$601,'Responses'!$A$2:$A$601,A42,'Responses'!$B$2:$B$601,'Strategies'!$A$3)</x:f>
        <x:v>1</x:v>
      </x:c>
    </x:row>
    <x:row r="43">
      <x:c r="A43" s="14" t="n">
        <x:v>42</x:v>
      </x:c>
      <x:c r="B43" s="14" t="n">
        <x:v>2</x:v>
      </x:c>
      <x:c r="C43" s="14" t="n">
        <x:v>700</x:v>
      </x:c>
      <x:c r="D43" s="14" t="n">
        <x:v>0</x:v>
      </x:c>
      <x:c r="E43" s="6" t="str">
        <x:v>Boutique</x:v>
      </x:c>
      <x:c r="F43" s="15" t="n">
        <x:f>SUMIFS('Responses'!$C$2:$C$601,'Responses'!$A$2:$A$601,A43,'Responses'!$B$2:$B$601,'Strategies'!$A$3)</x:f>
        <x:v>1</x:v>
      </x:c>
    </x:row>
    <x:row r="44">
      <x:c r="A44" s="14" t="n">
        <x:v>43</x:v>
      </x:c>
      <x:c r="B44" s="14" t="n">
        <x:v>2</x:v>
      </x:c>
      <x:c r="C44" s="14" t="n">
        <x:v>600</x:v>
      </x:c>
      <x:c r="D44" s="14" t="n">
        <x:v>0</x:v>
      </x:c>
      <x:c r="E44" s="6" t="str">
        <x:v>Online</x:v>
      </x:c>
      <x:c r="F44" s="15" t="n">
        <x:f>SUMIFS('Responses'!$C$2:$C$601,'Responses'!$A$2:$A$601,A44,'Responses'!$B$2:$B$601,'Strategies'!$A$3)</x:f>
        <x:v>1</x:v>
      </x:c>
    </x:row>
    <x:row r="45">
      <x:c r="A45" s="14" t="n">
        <x:v>44</x:v>
      </x:c>
      <x:c r="B45" s="14" t="n">
        <x:v>2</x:v>
      </x:c>
      <x:c r="C45" s="14" t="n">
        <x:v>1000</x:v>
      </x:c>
      <x:c r="D45" s="14" t="n">
        <x:v>0</x:v>
      </x:c>
      <x:c r="E45" s="6" t="str">
        <x:v>Online</x:v>
      </x:c>
      <x:c r="F45" s="15" t="n">
        <x:f>SUMIFS('Responses'!$C$2:$C$601,'Responses'!$A$2:$A$601,A45,'Responses'!$B$2:$B$601,'Strategies'!$A$3)</x:f>
        <x:v>1</x:v>
      </x:c>
    </x:row>
    <x:row r="46">
      <x:c r="A46" s="14" t="n">
        <x:v>45</x:v>
      </x:c>
      <x:c r="B46" s="14" t="n">
        <x:v>2</x:v>
      </x:c>
      <x:c r="C46" s="14" t="n">
        <x:v>900</x:v>
      </x:c>
      <x:c r="D46" s="14" t="n">
        <x:v>0</x:v>
      </x:c>
      <x:c r="E46" s="6" t="str">
        <x:v>Specialist retail</x:v>
      </x:c>
      <x:c r="F46" s="15" t="n">
        <x:f>SUMIFS('Responses'!$C$2:$C$601,'Responses'!$A$2:$A$601,A46,'Responses'!$B$2:$B$601,'Strategies'!$A$3)</x:f>
        <x:v>1</x:v>
      </x:c>
    </x:row>
    <x:row r="47">
      <x:c r="A47" s="14" t="n">
        <x:v>46</x:v>
      </x:c>
      <x:c r="B47" s="14" t="n">
        <x:v>2</x:v>
      </x:c>
      <x:c r="C47" s="14" t="n">
        <x:v>1150</x:v>
      </x:c>
      <x:c r="D47" s="14" t="n">
        <x:v>0</x:v>
      </x:c>
      <x:c r="E47" s="6" t="str">
        <x:v>Online</x:v>
      </x:c>
      <x:c r="F47" s="15" t="n">
        <x:f>SUMIFS('Responses'!$C$2:$C$601,'Responses'!$A$2:$A$601,A47,'Responses'!$B$2:$B$601,'Strategies'!$A$3)</x:f>
        <x:v>1</x:v>
      </x:c>
    </x:row>
    <x:row r="48">
      <x:c r="A48" s="14" t="n">
        <x:v>47</x:v>
      </x:c>
      <x:c r="B48" s="14" t="n">
        <x:v>2</x:v>
      </x:c>
      <x:c r="C48" s="14" t="n">
        <x:v>650</x:v>
      </x:c>
      <x:c r="D48" s="14" t="n">
        <x:v>0</x:v>
      </x:c>
      <x:c r="E48" s="6" t="str">
        <x:v>Specialist retail</x:v>
      </x:c>
      <x:c r="F48" s="15" t="n">
        <x:f>SUMIFS('Responses'!$C$2:$C$601,'Responses'!$A$2:$A$601,A48,'Responses'!$B$2:$B$601,'Strategies'!$A$3)</x:f>
        <x:v>1</x:v>
      </x:c>
    </x:row>
    <x:row r="49">
      <x:c r="A49" s="14" t="n">
        <x:v>48</x:v>
      </x:c>
      <x:c r="B49" s="14" t="n">
        <x:v>2</x:v>
      </x:c>
      <x:c r="C49" s="14" t="n">
        <x:v>1000</x:v>
      </x:c>
      <x:c r="D49" s="14" t="n">
        <x:v>0</x:v>
      </x:c>
      <x:c r="E49" s="6" t="str">
        <x:v>Online</x:v>
      </x:c>
      <x:c r="F49" s="15" t="n">
        <x:f>SUMIFS('Responses'!$C$2:$C$601,'Responses'!$A$2:$A$601,A49,'Responses'!$B$2:$B$601,'Strategies'!$A$3)</x:f>
        <x:v>1</x:v>
      </x:c>
    </x:row>
    <x:row r="50">
      <x:c r="A50" s="14" t="n">
        <x:v>49</x:v>
      </x:c>
      <x:c r="B50" s="14" t="n">
        <x:v>2</x:v>
      </x:c>
      <x:c r="C50" s="14" t="n">
        <x:v>1000</x:v>
      </x:c>
      <x:c r="D50" s="14" t="n">
        <x:v>0</x:v>
      </x:c>
      <x:c r="E50" s="6" t="str">
        <x:v>Online</x:v>
      </x:c>
      <x:c r="F50" s="15" t="n">
        <x:f>SUMIFS('Responses'!$C$2:$C$601,'Responses'!$A$2:$A$601,A50,'Responses'!$B$2:$B$601,'Strategies'!$A$3)</x:f>
        <x:v>1</x:v>
      </x:c>
    </x:row>
    <x:row r="51">
      <x:c r="A51" s="14" t="n">
        <x:v>50</x:v>
      </x:c>
      <x:c r="B51" s="14" t="n">
        <x:v>2</x:v>
      </x:c>
      <x:c r="C51" s="14" t="n">
        <x:v>1000</x:v>
      </x:c>
      <x:c r="D51" s="14" t="n">
        <x:v>0</x:v>
      </x:c>
      <x:c r="E51" s="6" t="str">
        <x:v>Specialist retail</x:v>
      </x:c>
      <x:c r="F51" s="15" t="n">
        <x:f>SUMIFS('Responses'!$C$2:$C$601,'Responses'!$A$2:$A$601,A51,'Responses'!$B$2:$B$601,'Strategies'!$A$3)</x:f>
        <x:v>0</x:v>
      </x:c>
    </x:row>
    <x:row r="52">
      <x:c r="A52" s="14" t="n">
        <x:v>51</x:v>
      </x:c>
      <x:c r="B52" s="14" t="n">
        <x:v>2</x:v>
      </x:c>
      <x:c r="C52" s="14" t="n">
        <x:v>250</x:v>
      </x:c>
      <x:c r="D52" s="14" t="n">
        <x:v>0</x:v>
      </x:c>
      <x:c r="E52" s="6" t="str">
        <x:v>Boutique</x:v>
      </x:c>
      <x:c r="F52" s="15" t="n">
        <x:f>SUMIFS('Responses'!$C$2:$C$601,'Responses'!$A$2:$A$601,A52,'Responses'!$B$2:$B$601,'Strategies'!$A$3)</x:f>
        <x:v>1</x:v>
      </x:c>
    </x:row>
    <x:row r="53">
      <x:c r="A53" s="14" t="n">
        <x:v>52</x:v>
      </x:c>
      <x:c r="B53" s="14" t="n">
        <x:v>2</x:v>
      </x:c>
      <x:c r="C53" s="14" t="n">
        <x:v>1000</x:v>
      </x:c>
      <x:c r="D53" s="14" t="n">
        <x:v>0</x:v>
      </x:c>
      <x:c r="E53" s="6" t="str">
        <x:v>Online</x:v>
      </x:c>
      <x:c r="F53" s="15" t="n">
        <x:f>SUMIFS('Responses'!$C$2:$C$601,'Responses'!$A$2:$A$601,A53,'Responses'!$B$2:$B$601,'Strategies'!$A$3)</x:f>
        <x:v>1</x:v>
      </x:c>
    </x:row>
    <x:row r="54">
      <x:c r="A54" s="14" t="n">
        <x:v>53</x:v>
      </x:c>
      <x:c r="B54" s="14" t="n">
        <x:v>2</x:v>
      </x:c>
      <x:c r="C54" s="14" t="n">
        <x:v>650</x:v>
      </x:c>
      <x:c r="D54" s="14" t="n">
        <x:v>0</x:v>
      </x:c>
      <x:c r="E54" s="6" t="str">
        <x:v>Specialist retail</x:v>
      </x:c>
      <x:c r="F54" s="15" t="n">
        <x:f>SUMIFS('Responses'!$C$2:$C$601,'Responses'!$A$2:$A$601,A54,'Responses'!$B$2:$B$601,'Strategies'!$A$3)</x:f>
        <x:v>0</x:v>
      </x:c>
    </x:row>
    <x:row r="55">
      <x:c r="A55" s="14" t="n">
        <x:v>54</x:v>
      </x:c>
      <x:c r="B55" s="14" t="n">
        <x:v>2</x:v>
      </x:c>
      <x:c r="C55" s="14" t="n">
        <x:v>1100</x:v>
      </x:c>
      <x:c r="D55" s="14" t="n">
        <x:v>0</x:v>
      </x:c>
      <x:c r="E55" s="6" t="str">
        <x:v>Specialist retail</x:v>
      </x:c>
      <x:c r="F55" s="15" t="n">
        <x:f>SUMIFS('Responses'!$C$2:$C$601,'Responses'!$A$2:$A$601,A55,'Responses'!$B$2:$B$601,'Strategies'!$A$3)</x:f>
        <x:v>1</x:v>
      </x:c>
    </x:row>
    <x:row r="56">
      <x:c r="A56" s="14" t="n">
        <x:v>55</x:v>
      </x:c>
      <x:c r="B56" s="14" t="n">
        <x:v>2</x:v>
      </x:c>
      <x:c r="C56" s="14" t="n">
        <x:v>600</x:v>
      </x:c>
      <x:c r="D56" s="14" t="n">
        <x:v>0</x:v>
      </x:c>
      <x:c r="E56" s="6" t="str">
        <x:v>Specialist retail</x:v>
      </x:c>
      <x:c r="F56" s="15" t="n">
        <x:f>SUMIFS('Responses'!$C$2:$C$601,'Responses'!$A$2:$A$601,A56,'Responses'!$B$2:$B$601,'Strategies'!$A$3)</x:f>
        <x:v>1</x:v>
      </x:c>
    </x:row>
    <x:row r="57">
      <x:c r="A57" s="14" t="n">
        <x:v>56</x:v>
      </x:c>
      <x:c r="B57" s="14" t="n">
        <x:v>2</x:v>
      </x:c>
      <x:c r="C57" s="14" t="n">
        <x:v>800</x:v>
      </x:c>
      <x:c r="D57" s="14" t="n">
        <x:v>0</x:v>
      </x:c>
      <x:c r="E57" s="6" t="str">
        <x:v>Online</x:v>
      </x:c>
      <x:c r="F57" s="15" t="n">
        <x:f>SUMIFS('Responses'!$C$2:$C$601,'Responses'!$A$2:$A$601,A57,'Responses'!$B$2:$B$601,'Strategies'!$A$3)</x:f>
        <x:v>1</x:v>
      </x:c>
    </x:row>
    <x:row r="58">
      <x:c r="A58" s="14" t="n">
        <x:v>57</x:v>
      </x:c>
      <x:c r="B58" s="14" t="n">
        <x:v>2</x:v>
      </x:c>
      <x:c r="C58" s="14" t="n">
        <x:v>850</x:v>
      </x:c>
      <x:c r="D58" s="14" t="n">
        <x:v>0</x:v>
      </x:c>
      <x:c r="E58" s="6" t="str">
        <x:v>Boutique</x:v>
      </x:c>
      <x:c r="F58" s="15" t="n">
        <x:f>SUMIFS('Responses'!$C$2:$C$601,'Responses'!$A$2:$A$601,A58,'Responses'!$B$2:$B$601,'Strategies'!$A$3)</x:f>
        <x:v>1</x:v>
      </x:c>
    </x:row>
    <x:row r="59">
      <x:c r="A59" s="14" t="n">
        <x:v>58</x:v>
      </x:c>
      <x:c r="B59" s="14" t="n">
        <x:v>2</x:v>
      </x:c>
      <x:c r="C59" s="14" t="n">
        <x:v>950</x:v>
      </x:c>
      <x:c r="D59" s="14" t="n">
        <x:v>0</x:v>
      </x:c>
      <x:c r="E59" s="6" t="str">
        <x:v>Online</x:v>
      </x:c>
      <x:c r="F59" s="15" t="n">
        <x:f>SUMIFS('Responses'!$C$2:$C$601,'Responses'!$A$2:$A$601,A59,'Responses'!$B$2:$B$601,'Strategies'!$A$3)</x:f>
        <x:v>0</x:v>
      </x:c>
    </x:row>
    <x:row r="60">
      <x:c r="A60" s="14" t="n">
        <x:v>59</x:v>
      </x:c>
      <x:c r="B60" s="14" t="n">
        <x:v>2</x:v>
      </x:c>
      <x:c r="C60" s="14" t="n">
        <x:v>550</x:v>
      </x:c>
      <x:c r="D60" s="14" t="n">
        <x:v>0</x:v>
      </x:c>
      <x:c r="E60" s="6" t="str">
        <x:v>Specialist retail</x:v>
      </x:c>
      <x:c r="F60" s="15" t="n">
        <x:f>SUMIFS('Responses'!$C$2:$C$601,'Responses'!$A$2:$A$601,A60,'Responses'!$B$2:$B$601,'Strategies'!$A$3)</x:f>
        <x:v>1</x:v>
      </x:c>
    </x:row>
    <x:row r="61">
      <x:c r="A61" s="14" t="n">
        <x:v>60</x:v>
      </x:c>
      <x:c r="B61" s="14" t="n">
        <x:v>2</x:v>
      </x:c>
      <x:c r="C61" s="14" t="n">
        <x:v>850</x:v>
      </x:c>
      <x:c r="D61" s="14" t="n">
        <x:v>0</x:v>
      </x:c>
      <x:c r="E61" s="6" t="str">
        <x:v>Online</x:v>
      </x:c>
      <x:c r="F61" s="15" t="n">
        <x:f>SUMIFS('Responses'!$C$2:$C$601,'Responses'!$A$2:$A$601,A61,'Responses'!$B$2:$B$601,'Strategies'!$A$3)</x:f>
        <x:v>1</x:v>
      </x:c>
    </x:row>
    <x:row r="62">
      <x:c r="A62" s="14" t="n">
        <x:v>61</x:v>
      </x:c>
      <x:c r="B62" s="14" t="n">
        <x:v>3</x:v>
      </x:c>
      <x:c r="C62" s="14" t="n">
        <x:v>3500</x:v>
      </x:c>
      <x:c r="D62" s="14" t="n">
        <x:v>1</x:v>
      </x:c>
      <x:c r="E62" s="6" t="str">
        <x:v>Online</x:v>
      </x:c>
      <x:c r="F62" s="15" t="n">
        <x:f>SUMIFS('Responses'!$C$2:$C$601,'Responses'!$A$2:$A$601,A62,'Responses'!$B$2:$B$601,'Strategies'!$A$3)</x:f>
        <x:v>1</x:v>
      </x:c>
    </x:row>
    <x:row r="63">
      <x:c r="A63" s="14" t="n">
        <x:v>62</x:v>
      </x:c>
      <x:c r="B63" s="14" t="n">
        <x:v>3</x:v>
      </x:c>
      <x:c r="C63" s="14" t="n">
        <x:v>1250</x:v>
      </x:c>
      <x:c r="D63" s="14" t="n">
        <x:v>1</x:v>
      </x:c>
      <x:c r="E63" s="6" t="str">
        <x:v>Online</x:v>
      </x:c>
      <x:c r="F63" s="15" t="n">
        <x:f>SUMIFS('Responses'!$C$2:$C$601,'Responses'!$A$2:$A$601,A63,'Responses'!$B$2:$B$601,'Strategies'!$A$3)</x:f>
        <x:v>1</x:v>
      </x:c>
    </x:row>
    <x:row r="64">
      <x:c r="A64" s="14" t="n">
        <x:v>63</x:v>
      </x:c>
      <x:c r="B64" s="14" t="n">
        <x:v>3</x:v>
      </x:c>
      <x:c r="C64" s="14" t="n">
        <x:v>1300</x:v>
      </x:c>
      <x:c r="D64" s="14" t="n">
        <x:v>1</x:v>
      </x:c>
      <x:c r="E64" s="6" t="str">
        <x:v>Boutique</x:v>
      </x:c>
      <x:c r="F64" s="15" t="n">
        <x:f>SUMIFS('Responses'!$C$2:$C$601,'Responses'!$A$2:$A$601,A64,'Responses'!$B$2:$B$601,'Strategies'!$A$3)</x:f>
        <x:v>1</x:v>
      </x:c>
    </x:row>
    <x:row r="65">
      <x:c r="A65" s="14" t="n">
        <x:v>64</x:v>
      </x:c>
      <x:c r="B65" s="14" t="n">
        <x:v>3</x:v>
      </x:c>
      <x:c r="C65" s="14" t="n">
        <x:v>2100</x:v>
      </x:c>
      <x:c r="D65" s="14" t="n">
        <x:v>0</x:v>
      </x:c>
      <x:c r="E65" s="6" t="str">
        <x:v>Online</x:v>
      </x:c>
      <x:c r="F65" s="15" t="n">
        <x:f>SUMIFS('Responses'!$C$2:$C$601,'Responses'!$A$2:$A$601,A65,'Responses'!$B$2:$B$601,'Strategies'!$A$3)</x:f>
        <x:v>1</x:v>
      </x:c>
    </x:row>
    <x:row r="66">
      <x:c r="A66" s="14" t="n">
        <x:v>65</x:v>
      </x:c>
      <x:c r="B66" s="14" t="n">
        <x:v>3</x:v>
      </x:c>
      <x:c r="C66" s="14" t="n">
        <x:v>3200</x:v>
      </x:c>
      <x:c r="D66" s="14" t="n">
        <x:v>1</x:v>
      </x:c>
      <x:c r="E66" s="6" t="str">
        <x:v>Boutique</x:v>
      </x:c>
      <x:c r="F66" s="15" t="n">
        <x:f>SUMIFS('Responses'!$C$2:$C$601,'Responses'!$A$2:$A$601,A66,'Responses'!$B$2:$B$601,'Strategies'!$A$3)</x:f>
        <x:v>0</x:v>
      </x:c>
    </x:row>
    <x:row r="67">
      <x:c r="A67" s="14" t="n">
        <x:v>66</x:v>
      </x:c>
      <x:c r="B67" s="14" t="n">
        <x:v>3</x:v>
      </x:c>
      <x:c r="C67" s="14" t="n">
        <x:v>2550</x:v>
      </x:c>
      <x:c r="D67" s="14" t="n">
        <x:v>1</x:v>
      </x:c>
      <x:c r="E67" s="6" t="str">
        <x:v>Specialist retail</x:v>
      </x:c>
      <x:c r="F67" s="15" t="n">
        <x:f>SUMIFS('Responses'!$C$2:$C$601,'Responses'!$A$2:$A$601,A67,'Responses'!$B$2:$B$601,'Strategies'!$A$3)</x:f>
        <x:v>1</x:v>
      </x:c>
    </x:row>
    <x:row r="68">
      <x:c r="A68" s="14" t="n">
        <x:v>67</x:v>
      </x:c>
      <x:c r="B68" s="14" t="n">
        <x:v>3</x:v>
      </x:c>
      <x:c r="C68" s="14" t="n">
        <x:v>3450</x:v>
      </x:c>
      <x:c r="D68" s="14" t="n">
        <x:v>1</x:v>
      </x:c>
      <x:c r="E68" s="6" t="str">
        <x:v>Boutique</x:v>
      </x:c>
      <x:c r="F68" s="15" t="n">
        <x:f>SUMIFS('Responses'!$C$2:$C$601,'Responses'!$A$2:$A$601,A68,'Responses'!$B$2:$B$601,'Strategies'!$A$3)</x:f>
        <x:v>0</x:v>
      </x:c>
    </x:row>
    <x:row r="69">
      <x:c r="A69" s="14" t="n">
        <x:v>68</x:v>
      </x:c>
      <x:c r="B69" s="14" t="n">
        <x:v>3</x:v>
      </x:c>
      <x:c r="C69" s="14" t="n">
        <x:v>2250</x:v>
      </x:c>
      <x:c r="D69" s="14" t="n">
        <x:v>1</x:v>
      </x:c>
      <x:c r="E69" s="6" t="str">
        <x:v>Online</x:v>
      </x:c>
      <x:c r="F69" s="15" t="n">
        <x:f>SUMIFS('Responses'!$C$2:$C$601,'Responses'!$A$2:$A$601,A69,'Responses'!$B$2:$B$601,'Strategies'!$A$3)</x:f>
        <x:v>0</x:v>
      </x:c>
    </x:row>
    <x:row r="70">
      <x:c r="A70" s="14" t="n">
        <x:v>69</x:v>
      </x:c>
      <x:c r="B70" s="14" t="n">
        <x:v>3</x:v>
      </x:c>
      <x:c r="C70" s="14" t="n">
        <x:v>2800</x:v>
      </x:c>
      <x:c r="D70" s="14" t="n">
        <x:v>1</x:v>
      </x:c>
      <x:c r="E70" s="6" t="str">
        <x:v>Specialist retail</x:v>
      </x:c>
      <x:c r="F70" s="15" t="n">
        <x:f>SUMIFS('Responses'!$C$2:$C$601,'Responses'!$A$2:$A$601,A70,'Responses'!$B$2:$B$601,'Strategies'!$A$3)</x:f>
        <x:v>1</x:v>
      </x:c>
    </x:row>
    <x:row r="71">
      <x:c r="A71" s="14" t="n">
        <x:v>70</x:v>
      </x:c>
      <x:c r="B71" s="14" t="n">
        <x:v>3</x:v>
      </x:c>
      <x:c r="C71" s="14" t="n">
        <x:v>1050</x:v>
      </x:c>
      <x:c r="D71" s="14" t="n">
        <x:v>0</x:v>
      </x:c>
      <x:c r="E71" s="6" t="str">
        <x:v>Specialist retail</x:v>
      </x:c>
      <x:c r="F71" s="15" t="n">
        <x:f>SUMIFS('Responses'!$C$2:$C$601,'Responses'!$A$2:$A$601,A71,'Responses'!$B$2:$B$601,'Strategies'!$A$3)</x:f>
        <x:v>0</x:v>
      </x:c>
    </x:row>
    <x:row r="72">
      <x:c r="A72" s="14" t="n">
        <x:v>71</x:v>
      </x:c>
      <x:c r="B72" s="14" t="n">
        <x:v>3</x:v>
      </x:c>
      <x:c r="C72" s="14" t="n">
        <x:v>2150</x:v>
      </x:c>
      <x:c r="D72" s="14" t="n">
        <x:v>1</x:v>
      </x:c>
      <x:c r="E72" s="6" t="str">
        <x:v>Online</x:v>
      </x:c>
      <x:c r="F72" s="15" t="n">
        <x:f>SUMIFS('Responses'!$C$2:$C$601,'Responses'!$A$2:$A$601,A72,'Responses'!$B$2:$B$601,'Strategies'!$A$3)</x:f>
        <x:v>0</x:v>
      </x:c>
    </x:row>
    <x:row r="73">
      <x:c r="A73" s="14" t="n">
        <x:v>72</x:v>
      </x:c>
      <x:c r="B73" s="14" t="n">
        <x:v>3</x:v>
      </x:c>
      <x:c r="C73" s="14" t="n">
        <x:v>2150</x:v>
      </x:c>
      <x:c r="D73" s="14" t="n">
        <x:v>0</x:v>
      </x:c>
      <x:c r="E73" s="6" t="str">
        <x:v>Boutique</x:v>
      </x:c>
      <x:c r="F73" s="15" t="n">
        <x:f>SUMIFS('Responses'!$C$2:$C$601,'Responses'!$A$2:$A$601,A73,'Responses'!$B$2:$B$601,'Strategies'!$A$3)</x:f>
        <x:v>0</x:v>
      </x:c>
    </x:row>
    <x:row r="74">
      <x:c r="A74" s="14" t="n">
        <x:v>73</x:v>
      </x:c>
      <x:c r="B74" s="14" t="n">
        <x:v>3</x:v>
      </x:c>
      <x:c r="C74" s="14" t="n">
        <x:v>3100</x:v>
      </x:c>
      <x:c r="D74" s="14" t="n">
        <x:v>1</x:v>
      </x:c>
      <x:c r="E74" s="6" t="str">
        <x:v>Boutique</x:v>
      </x:c>
      <x:c r="F74" s="15" t="n">
        <x:f>SUMIFS('Responses'!$C$2:$C$601,'Responses'!$A$2:$A$601,A74,'Responses'!$B$2:$B$601,'Strategies'!$A$3)</x:f>
        <x:v>0</x:v>
      </x:c>
    </x:row>
    <x:row r="75">
      <x:c r="A75" s="14" t="n">
        <x:v>74</x:v>
      </x:c>
      <x:c r="B75" s="14" t="n">
        <x:v>3</x:v>
      </x:c>
      <x:c r="C75" s="14" t="n">
        <x:v>2600</x:v>
      </x:c>
      <x:c r="D75" s="14" t="n">
        <x:v>0</x:v>
      </x:c>
      <x:c r="E75" s="6" t="str">
        <x:v>Online</x:v>
      </x:c>
      <x:c r="F75" s="15" t="n">
        <x:f>SUMIFS('Responses'!$C$2:$C$601,'Responses'!$A$2:$A$601,A75,'Responses'!$B$2:$B$601,'Strategies'!$A$3)</x:f>
        <x:v>0</x:v>
      </x:c>
    </x:row>
    <x:row r="76">
      <x:c r="A76" s="14" t="n">
        <x:v>75</x:v>
      </x:c>
      <x:c r="B76" s="14" t="n">
        <x:v>3</x:v>
      </x:c>
      <x:c r="C76" s="14" t="n">
        <x:v>2300</x:v>
      </x:c>
      <x:c r="D76" s="14" t="n">
        <x:v>1</x:v>
      </x:c>
      <x:c r="E76" s="6" t="str">
        <x:v>Boutique</x:v>
      </x:c>
      <x:c r="F76" s="15" t="n">
        <x:f>SUMIFS('Responses'!$C$2:$C$601,'Responses'!$A$2:$A$601,A76,'Responses'!$B$2:$B$601,'Strategies'!$A$3)</x:f>
        <x:v>0</x:v>
      </x:c>
    </x:row>
    <x:row r="77">
      <x:c r="A77" s="14" t="n">
        <x:v>76</x:v>
      </x:c>
      <x:c r="B77" s="14" t="n">
        <x:v>3</x:v>
      </x:c>
      <x:c r="C77" s="14" t="n">
        <x:v>2250</x:v>
      </x:c>
      <x:c r="D77" s="14" t="n">
        <x:v>1</x:v>
      </x:c>
      <x:c r="E77" s="6" t="str">
        <x:v>Specialist retail</x:v>
      </x:c>
      <x:c r="F77" s="15" t="n">
        <x:f>SUMIFS('Responses'!$C$2:$C$601,'Responses'!$A$2:$A$601,A77,'Responses'!$B$2:$B$601,'Strategies'!$A$3)</x:f>
        <x:v>0</x:v>
      </x:c>
    </x:row>
    <x:row r="78">
      <x:c r="A78" s="14" t="n">
        <x:v>77</x:v>
      </x:c>
      <x:c r="B78" s="14" t="n">
        <x:v>3</x:v>
      </x:c>
      <x:c r="C78" s="14" t="n">
        <x:v>1450</x:v>
      </x:c>
      <x:c r="D78" s="14" t="n">
        <x:v>0</x:v>
      </x:c>
      <x:c r="E78" s="6" t="str">
        <x:v>Boutique</x:v>
      </x:c>
      <x:c r="F78" s="15" t="n">
        <x:f>SUMIFS('Responses'!$C$2:$C$601,'Responses'!$A$2:$A$601,A78,'Responses'!$B$2:$B$601,'Strategies'!$A$3)</x:f>
        <x:v>1</x:v>
      </x:c>
    </x:row>
    <x:row r="79">
      <x:c r="A79" s="14" t="n">
        <x:v>78</x:v>
      </x:c>
      <x:c r="B79" s="14" t="n">
        <x:v>3</x:v>
      </x:c>
      <x:c r="C79" s="14" t="n">
        <x:v>2800</x:v>
      </x:c>
      <x:c r="D79" s="14" t="n">
        <x:v>1</x:v>
      </x:c>
      <x:c r="E79" s="6" t="str">
        <x:v>Online</x:v>
      </x:c>
      <x:c r="F79" s="15" t="n">
        <x:f>SUMIFS('Responses'!$C$2:$C$601,'Responses'!$A$2:$A$601,A79,'Responses'!$B$2:$B$601,'Strategies'!$A$3)</x:f>
        <x:v>0</x:v>
      </x:c>
    </x:row>
    <x:row r="80">
      <x:c r="A80" s="14" t="n">
        <x:v>79</x:v>
      </x:c>
      <x:c r="B80" s="14" t="n">
        <x:v>3</x:v>
      </x:c>
      <x:c r="C80" s="14" t="n">
        <x:v>2400</x:v>
      </x:c>
      <x:c r="D80" s="14" t="n">
        <x:v>1</x:v>
      </x:c>
      <x:c r="E80" s="6" t="str">
        <x:v>Boutique</x:v>
      </x:c>
      <x:c r="F80" s="15" t="n">
        <x:f>SUMIFS('Responses'!$C$2:$C$601,'Responses'!$A$2:$A$601,A80,'Responses'!$B$2:$B$601,'Strategies'!$A$3)</x:f>
        <x:v>0</x:v>
      </x:c>
    </x:row>
    <x:row r="81">
      <x:c r="A81" s="14" t="n">
        <x:v>80</x:v>
      </x:c>
      <x:c r="B81" s="14" t="n">
        <x:v>3</x:v>
      </x:c>
      <x:c r="C81" s="14" t="n">
        <x:v>2200</x:v>
      </x:c>
      <x:c r="D81" s="14" t="n">
        <x:v>1</x:v>
      </x:c>
      <x:c r="E81" s="6" t="str">
        <x:v>Boutique</x:v>
      </x:c>
      <x:c r="F81" s="15" t="n">
        <x:f>SUMIFS('Responses'!$C$2:$C$601,'Responses'!$A$2:$A$601,A81,'Responses'!$B$2:$B$601,'Strategies'!$A$3)</x:f>
        <x:v>0</x:v>
      </x:c>
    </x:row>
    <x:row r="82">
      <x:c r="A82" s="14" t="n">
        <x:v>81</x:v>
      </x:c>
      <x:c r="B82" s="14" t="n">
        <x:v>3</x:v>
      </x:c>
      <x:c r="C82" s="14" t="n">
        <x:v>3100</x:v>
      </x:c>
      <x:c r="D82" s="14" t="n">
        <x:v>1</x:v>
      </x:c>
      <x:c r="E82" s="6" t="str">
        <x:v>Online</x:v>
      </x:c>
      <x:c r="F82" s="15" t="n">
        <x:f>SUMIFS('Responses'!$C$2:$C$601,'Responses'!$A$2:$A$601,A82,'Responses'!$B$2:$B$601,'Strategies'!$A$3)</x:f>
        <x:v>0</x:v>
      </x:c>
    </x:row>
    <x:row r="83">
      <x:c r="A83" s="14" t="n">
        <x:v>82</x:v>
      </x:c>
      <x:c r="B83" s="14" t="n">
        <x:v>3</x:v>
      </x:c>
      <x:c r="C83" s="14" t="n">
        <x:v>3600</x:v>
      </x:c>
      <x:c r="D83" s="14" t="n">
        <x:v>1</x:v>
      </x:c>
      <x:c r="E83" s="6" t="str">
        <x:v>Online</x:v>
      </x:c>
      <x:c r="F83" s="15" t="n">
        <x:f>SUMIFS('Responses'!$C$2:$C$601,'Responses'!$A$2:$A$601,A83,'Responses'!$B$2:$B$601,'Strategies'!$A$3)</x:f>
        <x:v>0</x:v>
      </x:c>
    </x:row>
    <x:row r="84">
      <x:c r="A84" s="14" t="n">
        <x:v>83</x:v>
      </x:c>
      <x:c r="B84" s="14" t="n">
        <x:v>3</x:v>
      </x:c>
      <x:c r="C84" s="14" t="n">
        <x:v>1300</x:v>
      </x:c>
      <x:c r="D84" s="14" t="n">
        <x:v>1</x:v>
      </x:c>
      <x:c r="E84" s="6" t="str">
        <x:v>Specialist retail</x:v>
      </x:c>
      <x:c r="F84" s="15" t="n">
        <x:f>SUMIFS('Responses'!$C$2:$C$601,'Responses'!$A$2:$A$601,A84,'Responses'!$B$2:$B$601,'Strategies'!$A$3)</x:f>
        <x:v>0</x:v>
      </x:c>
    </x:row>
    <x:row r="85">
      <x:c r="A85" s="14" t="n">
        <x:v>84</x:v>
      </x:c>
      <x:c r="B85" s="14" t="n">
        <x:v>3</x:v>
      </x:c>
      <x:c r="C85" s="14" t="n">
        <x:v>1850</x:v>
      </x:c>
      <x:c r="D85" s="14" t="n">
        <x:v>1</x:v>
      </x:c>
      <x:c r="E85" s="6" t="str">
        <x:v>Boutique</x:v>
      </x:c>
      <x:c r="F85" s="15" t="n">
        <x:f>SUMIFS('Responses'!$C$2:$C$601,'Responses'!$A$2:$A$601,A85,'Responses'!$B$2:$B$601,'Strategies'!$A$3)</x:f>
        <x:v>0</x:v>
      </x:c>
    </x:row>
    <x:row r="86">
      <x:c r="A86" s="14" t="n">
        <x:v>85</x:v>
      </x:c>
      <x:c r="B86" s="14" t="n">
        <x:v>3</x:v>
      </x:c>
      <x:c r="C86" s="14" t="n">
        <x:v>1850</x:v>
      </x:c>
      <x:c r="D86" s="14" t="n">
        <x:v>1</x:v>
      </x:c>
      <x:c r="E86" s="6" t="str">
        <x:v>Online</x:v>
      </x:c>
      <x:c r="F86" s="15" t="n">
        <x:f>SUMIFS('Responses'!$C$2:$C$601,'Responses'!$A$2:$A$601,A86,'Responses'!$B$2:$B$601,'Strategies'!$A$3)</x:f>
        <x:v>1</x:v>
      </x:c>
    </x:row>
    <x:row r="87">
      <x:c r="A87" s="14" t="n">
        <x:v>86</x:v>
      </x:c>
      <x:c r="B87" s="14" t="n">
        <x:v>3</x:v>
      </x:c>
      <x:c r="C87" s="14" t="n">
        <x:v>3300</x:v>
      </x:c>
      <x:c r="D87" s="14" t="n">
        <x:v>1</x:v>
      </x:c>
      <x:c r="E87" s="6" t="str">
        <x:v>Specialist retail</x:v>
      </x:c>
      <x:c r="F87" s="15" t="n">
        <x:f>SUMIFS('Responses'!$C$2:$C$601,'Responses'!$A$2:$A$601,A87,'Responses'!$B$2:$B$601,'Strategies'!$A$3)</x:f>
        <x:v>0</x:v>
      </x:c>
    </x:row>
    <x:row r="88">
      <x:c r="A88" s="14" t="n">
        <x:v>87</x:v>
      </x:c>
      <x:c r="B88" s="14" t="n">
        <x:v>3</x:v>
      </x:c>
      <x:c r="C88" s="14" t="n">
        <x:v>2300</x:v>
      </x:c>
      <x:c r="D88" s="14" t="n">
        <x:v>1</x:v>
      </x:c>
      <x:c r="E88" s="6" t="str">
        <x:v>Specialist retail</x:v>
      </x:c>
      <x:c r="F88" s="15" t="n">
        <x:f>SUMIFS('Responses'!$C$2:$C$601,'Responses'!$A$2:$A$601,A88,'Responses'!$B$2:$B$601,'Strategies'!$A$3)</x:f>
        <x:v>1</x:v>
      </x:c>
    </x:row>
    <x:row r="89">
      <x:c r="A89" s="14" t="n">
        <x:v>88</x:v>
      </x:c>
      <x:c r="B89" s="14" t="n">
        <x:v>3</x:v>
      </x:c>
      <x:c r="C89" s="14" t="n">
        <x:v>1400</x:v>
      </x:c>
      <x:c r="D89" s="14" t="n">
        <x:v>1</x:v>
      </x:c>
      <x:c r="E89" s="6" t="str">
        <x:v>Online</x:v>
      </x:c>
      <x:c r="F89" s="15" t="n">
        <x:f>SUMIFS('Responses'!$C$2:$C$601,'Responses'!$A$2:$A$601,A89,'Responses'!$B$2:$B$601,'Strategies'!$A$3)</x:f>
        <x:v>0</x:v>
      </x:c>
    </x:row>
    <x:row r="90">
      <x:c r="A90" s="14" t="n">
        <x:v>89</x:v>
      </x:c>
      <x:c r="B90" s="14" t="n">
        <x:v>3</x:v>
      </x:c>
      <x:c r="C90" s="14" t="n">
        <x:v>2750</x:v>
      </x:c>
      <x:c r="D90" s="14" t="n">
        <x:v>1</x:v>
      </x:c>
      <x:c r="E90" s="6" t="str">
        <x:v>Specialist retail</x:v>
      </x:c>
      <x:c r="F90" s="15" t="n">
        <x:f>SUMIFS('Responses'!$C$2:$C$601,'Responses'!$A$2:$A$601,A90,'Responses'!$B$2:$B$601,'Strategies'!$A$3)</x:f>
        <x:v>0</x:v>
      </x:c>
    </x:row>
    <x:row r="91">
      <x:c r="A91" s="14" t="n">
        <x:v>90</x:v>
      </x:c>
      <x:c r="B91" s="14" t="n">
        <x:v>3</x:v>
      </x:c>
      <x:c r="C91" s="14" t="n">
        <x:v>2000</x:v>
      </x:c>
      <x:c r="D91" s="14" t="n">
        <x:v>1</x:v>
      </x:c>
      <x:c r="E91" s="6" t="str">
        <x:v>Online</x:v>
      </x:c>
      <x:c r="F91" s="15" t="n">
        <x:f>SUMIFS('Responses'!$C$2:$C$601,'Responses'!$A$2:$A$601,A91,'Responses'!$B$2:$B$601,'Strategies'!$A$3)</x:f>
        <x:v>0</x:v>
      </x:c>
    </x:row>
    <x:row r="92">
      <x:c r="A92" s="14" t="n">
        <x:v>91</x:v>
      </x:c>
      <x:c r="B92" s="14" t="n">
        <x:v>4</x:v>
      </x:c>
      <x:c r="C92" s="14" t="n">
        <x:v>550</x:v>
      </x:c>
      <x:c r="D92" s="14" t="n">
        <x:v>0</x:v>
      </x:c>
      <x:c r="E92" s="6" t="str">
        <x:v>Boutique</x:v>
      </x:c>
      <x:c r="F92" s="15" t="n">
        <x:f>SUMIFS('Responses'!$C$2:$C$601,'Responses'!$A$2:$A$601,A92,'Responses'!$B$2:$B$601,'Strategies'!$A$3)</x:f>
        <x:v>1</x:v>
      </x:c>
    </x:row>
    <x:row r="93">
      <x:c r="A93" s="14" t="n">
        <x:v>92</x:v>
      </x:c>
      <x:c r="B93" s="14" t="n">
        <x:v>4</x:v>
      </x:c>
      <x:c r="C93" s="14" t="n">
        <x:v>400</x:v>
      </x:c>
      <x:c r="D93" s="14" t="n">
        <x:v>0</x:v>
      </x:c>
      <x:c r="E93" s="6" t="str">
        <x:v>Boutique</x:v>
      </x:c>
      <x:c r="F93" s="15" t="n">
        <x:f>SUMIFS('Responses'!$C$2:$C$601,'Responses'!$A$2:$A$601,A93,'Responses'!$B$2:$B$601,'Strategies'!$A$3)</x:f>
        <x:v>0</x:v>
      </x:c>
    </x:row>
    <x:row r="94">
      <x:c r="A94" s="14" t="n">
        <x:v>93</x:v>
      </x:c>
      <x:c r="B94" s="14" t="n">
        <x:v>4</x:v>
      </x:c>
      <x:c r="C94" s="14" t="n">
        <x:v>500</x:v>
      </x:c>
      <x:c r="D94" s="14" t="n">
        <x:v>0</x:v>
      </x:c>
      <x:c r="E94" s="6" t="str">
        <x:v>Online</x:v>
      </x:c>
      <x:c r="F94" s="15" t="n">
        <x:f>SUMIFS('Responses'!$C$2:$C$601,'Responses'!$A$2:$A$601,A94,'Responses'!$B$2:$B$601,'Strategies'!$A$3)</x:f>
        <x:v>1</x:v>
      </x:c>
    </x:row>
    <x:row r="95">
      <x:c r="A95" s="14" t="n">
        <x:v>94</x:v>
      </x:c>
      <x:c r="B95" s="14" t="n">
        <x:v>4</x:v>
      </x:c>
      <x:c r="C95" s="14" t="n">
        <x:v>550</x:v>
      </x:c>
      <x:c r="D95" s="14" t="n">
        <x:v>0</x:v>
      </x:c>
      <x:c r="E95" s="6" t="str">
        <x:v>Online</x:v>
      </x:c>
      <x:c r="F95" s="15" t="n">
        <x:f>SUMIFS('Responses'!$C$2:$C$601,'Responses'!$A$2:$A$601,A95,'Responses'!$B$2:$B$601,'Strategies'!$A$3)</x:f>
        <x:v>1</x:v>
      </x:c>
    </x:row>
    <x:row r="96">
      <x:c r="A96" s="14" t="n">
        <x:v>95</x:v>
      </x:c>
      <x:c r="B96" s="14" t="n">
        <x:v>4</x:v>
      </x:c>
      <x:c r="C96" s="14" t="n">
        <x:v>600</x:v>
      </x:c>
      <x:c r="D96" s="14" t="n">
        <x:v>0</x:v>
      </x:c>
      <x:c r="E96" s="6" t="str">
        <x:v>Online</x:v>
      </x:c>
      <x:c r="F96" s="15" t="n">
        <x:f>SUMIFS('Responses'!$C$2:$C$601,'Responses'!$A$2:$A$601,A96,'Responses'!$B$2:$B$601,'Strategies'!$A$3)</x:f>
        <x:v>0</x:v>
      </x:c>
    </x:row>
    <x:row r="97">
      <x:c r="A97" s="14" t="n">
        <x:v>96</x:v>
      </x:c>
      <x:c r="B97" s="14" t="n">
        <x:v>4</x:v>
      </x:c>
      <x:c r="C97" s="14" t="n">
        <x:v>350</x:v>
      </x:c>
      <x:c r="D97" s="14" t="n">
        <x:v>0</x:v>
      </x:c>
      <x:c r="E97" s="6" t="str">
        <x:v>Online</x:v>
      </x:c>
      <x:c r="F97" s="15" t="n">
        <x:f>SUMIFS('Responses'!$C$2:$C$601,'Responses'!$A$2:$A$601,A97,'Responses'!$B$2:$B$601,'Strategies'!$A$3)</x:f>
        <x:v>1</x:v>
      </x:c>
    </x:row>
    <x:row r="98">
      <x:c r="A98" s="14" t="n">
        <x:v>97</x:v>
      </x:c>
      <x:c r="B98" s="14" t="n">
        <x:v>4</x:v>
      </x:c>
      <x:c r="C98" s="14" t="n">
        <x:v>250</x:v>
      </x:c>
      <x:c r="D98" s="14" t="n">
        <x:v>0</x:v>
      </x:c>
      <x:c r="E98" s="6" t="str">
        <x:v>Boutique</x:v>
      </x:c>
      <x:c r="F98" s="15" t="n">
        <x:f>SUMIFS('Responses'!$C$2:$C$601,'Responses'!$A$2:$A$601,A98,'Responses'!$B$2:$B$601,'Strategies'!$A$3)</x:f>
        <x:v>0</x:v>
      </x:c>
    </x:row>
    <x:row r="99">
      <x:c r="A99" s="14" t="n">
        <x:v>98</x:v>
      </x:c>
      <x:c r="B99" s="14" t="n">
        <x:v>4</x:v>
      </x:c>
      <x:c r="C99" s="14" t="n">
        <x:v>900</x:v>
      </x:c>
      <x:c r="D99" s="14" t="n">
        <x:v>0</x:v>
      </x:c>
      <x:c r="E99" s="6" t="str">
        <x:v>Specialist retail</x:v>
      </x:c>
      <x:c r="F99" s="15" t="n">
        <x:f>SUMIFS('Responses'!$C$2:$C$601,'Responses'!$A$2:$A$601,A99,'Responses'!$B$2:$B$601,'Strategies'!$A$3)</x:f>
        <x:v>1</x:v>
      </x:c>
    </x:row>
    <x:row r="100">
      <x:c r="A100" s="14" t="n">
        <x:v>99</x:v>
      </x:c>
      <x:c r="B100" s="14" t="n">
        <x:v>4</x:v>
      </x:c>
      <x:c r="C100" s="14" t="n">
        <x:v>350</x:v>
      </x:c>
      <x:c r="D100" s="14" t="n">
        <x:v>0</x:v>
      </x:c>
      <x:c r="E100" s="6" t="str">
        <x:v>Online</x:v>
      </x:c>
      <x:c r="F100" s="15" t="n">
        <x:f>SUMIFS('Responses'!$C$2:$C$601,'Responses'!$A$2:$A$601,A100,'Responses'!$B$2:$B$601,'Strategies'!$A$3)</x:f>
        <x:v>1</x:v>
      </x:c>
    </x:row>
    <x:row r="101">
      <x:c r="A101" s="14" t="n">
        <x:v>100</x:v>
      </x:c>
      <x:c r="B101" s="14" t="n">
        <x:v>4</x:v>
      </x:c>
      <x:c r="C101" s="14" t="n">
        <x:v>750</x:v>
      </x:c>
      <x:c r="D101" s="14" t="n">
        <x:v>0</x:v>
      </x:c>
      <x:c r="E101" s="6" t="str">
        <x:v>Online</x:v>
      </x:c>
      <x:c r="F101" s="15" t="n">
        <x:f>SUMIFS('Responses'!$C$2:$C$601,'Responses'!$A$2:$A$601,A101,'Responses'!$B$2:$B$601,'Strategies'!$A$3)</x:f>
        <x:v>1</x:v>
      </x:c>
    </x:row>
    <x:row r="102">
      <x:c r="A102" s="14" t="n">
        <x:v>101</x:v>
      </x:c>
      <x:c r="B102" s="14" t="n">
        <x:v>4</x:v>
      </x:c>
      <x:c r="C102" s="14" t="n">
        <x:v>550</x:v>
      </x:c>
      <x:c r="D102" s="14" t="n">
        <x:v>0</x:v>
      </x:c>
      <x:c r="E102" s="6" t="str">
        <x:v>Online</x:v>
      </x:c>
      <x:c r="F102" s="15" t="n">
        <x:f>SUMIFS('Responses'!$C$2:$C$601,'Responses'!$A$2:$A$601,A102,'Responses'!$B$2:$B$601,'Strategies'!$A$3)</x:f>
        <x:v>1</x:v>
      </x:c>
    </x:row>
    <x:row r="103">
      <x:c r="A103" s="14" t="n">
        <x:v>102</x:v>
      </x:c>
      <x:c r="B103" s="14" t="n">
        <x:v>4</x:v>
      </x:c>
      <x:c r="C103" s="14" t="n">
        <x:v>950</x:v>
      </x:c>
      <x:c r="D103" s="14" t="n">
        <x:v>0</x:v>
      </x:c>
      <x:c r="E103" s="6" t="str">
        <x:v>Online</x:v>
      </x:c>
      <x:c r="F103" s="15" t="n">
        <x:f>SUMIFS('Responses'!$C$2:$C$601,'Responses'!$A$2:$A$601,A103,'Responses'!$B$2:$B$601,'Strategies'!$A$3)</x:f>
        <x:v>1</x:v>
      </x:c>
    </x:row>
    <x:row r="104">
      <x:c r="A104" s="14" t="n">
        <x:v>103</x:v>
      </x:c>
      <x:c r="B104" s="14" t="n">
        <x:v>4</x:v>
      </x:c>
      <x:c r="C104" s="14" t="n">
        <x:v>700</x:v>
      </x:c>
      <x:c r="D104" s="14" t="n">
        <x:v>0</x:v>
      </x:c>
      <x:c r="E104" s="6" t="str">
        <x:v>Boutique</x:v>
      </x:c>
      <x:c r="F104" s="15" t="n">
        <x:f>SUMIFS('Responses'!$C$2:$C$601,'Responses'!$A$2:$A$601,A104,'Responses'!$B$2:$B$601,'Strategies'!$A$3)</x:f>
        <x:v>1</x:v>
      </x:c>
    </x:row>
    <x:row r="105">
      <x:c r="A105" s="14" t="n">
        <x:v>104</x:v>
      </x:c>
      <x:c r="B105" s="14" t="n">
        <x:v>4</x:v>
      </x:c>
      <x:c r="C105" s="14" t="n">
        <x:v>550</x:v>
      </x:c>
      <x:c r="D105" s="14" t="n">
        <x:v>0</x:v>
      </x:c>
      <x:c r="E105" s="6" t="str">
        <x:v>Boutique</x:v>
      </x:c>
      <x:c r="F105" s="15" t="n">
        <x:f>SUMIFS('Responses'!$C$2:$C$601,'Responses'!$A$2:$A$601,A105,'Responses'!$B$2:$B$601,'Strategies'!$A$3)</x:f>
        <x:v>0</x:v>
      </x:c>
    </x:row>
    <x:row r="106">
      <x:c r="A106" s="14" t="n">
        <x:v>105</x:v>
      </x:c>
      <x:c r="B106" s="14" t="n">
        <x:v>4</x:v>
      </x:c>
      <x:c r="C106" s="14" t="n">
        <x:v>500</x:v>
      </x:c>
      <x:c r="D106" s="14" t="n">
        <x:v>0</x:v>
      </x:c>
      <x:c r="E106" s="6" t="str">
        <x:v>Online</x:v>
      </x:c>
      <x:c r="F106" s="15" t="n">
        <x:f>SUMIFS('Responses'!$C$2:$C$601,'Responses'!$A$2:$A$601,A106,'Responses'!$B$2:$B$601,'Strategies'!$A$3)</x:f>
        <x:v>1</x:v>
      </x:c>
    </x:row>
    <x:row r="107">
      <x:c r="A107" s="14" t="n">
        <x:v>106</x:v>
      </x:c>
      <x:c r="B107" s="14" t="n">
        <x:v>4</x:v>
      </x:c>
      <x:c r="C107" s="14" t="n">
        <x:v>550</x:v>
      </x:c>
      <x:c r="D107" s="14" t="n">
        <x:v>0</x:v>
      </x:c>
      <x:c r="E107" s="6" t="str">
        <x:v>Boutique</x:v>
      </x:c>
      <x:c r="F107" s="15" t="n">
        <x:f>SUMIFS('Responses'!$C$2:$C$601,'Responses'!$A$2:$A$601,A107,'Responses'!$B$2:$B$601,'Strategies'!$A$3)</x:f>
        <x:v>1</x:v>
      </x:c>
    </x:row>
    <x:row r="108">
      <x:c r="A108" s="14" t="n">
        <x:v>107</x:v>
      </x:c>
      <x:c r="B108" s="14" t="n">
        <x:v>4</x:v>
      </x:c>
      <x:c r="C108" s="14" t="n">
        <x:v>800</x:v>
      </x:c>
      <x:c r="D108" s="14" t="n">
        <x:v>0</x:v>
      </x:c>
      <x:c r="E108" s="6" t="str">
        <x:v>Online</x:v>
      </x:c>
      <x:c r="F108" s="15" t="n">
        <x:f>SUMIFS('Responses'!$C$2:$C$601,'Responses'!$A$2:$A$601,A108,'Responses'!$B$2:$B$601,'Strategies'!$A$3)</x:f>
        <x:v>0</x:v>
      </x:c>
    </x:row>
    <x:row r="109">
      <x:c r="A109" s="14" t="n">
        <x:v>108</x:v>
      </x:c>
      <x:c r="B109" s="14" t="n">
        <x:v>4</x:v>
      </x:c>
      <x:c r="C109" s="14" t="n">
        <x:v>700</x:v>
      </x:c>
      <x:c r="D109" s="14" t="n">
        <x:v>0</x:v>
      </x:c>
      <x:c r="E109" s="6" t="str">
        <x:v>Online</x:v>
      </x:c>
      <x:c r="F109" s="15" t="n">
        <x:f>SUMIFS('Responses'!$C$2:$C$601,'Responses'!$A$2:$A$601,A109,'Responses'!$B$2:$B$601,'Strategies'!$A$3)</x:f>
        <x:v>0</x:v>
      </x:c>
    </x:row>
    <x:row r="110">
      <x:c r="A110" s="14" t="n">
        <x:v>109</x:v>
      </x:c>
      <x:c r="B110" s="14" t="n">
        <x:v>4</x:v>
      </x:c>
      <x:c r="C110" s="14" t="n">
        <x:v>450</x:v>
      </x:c>
      <x:c r="D110" s="14" t="n">
        <x:v>0</x:v>
      </x:c>
      <x:c r="E110" s="6" t="str">
        <x:v>Boutique</x:v>
      </x:c>
      <x:c r="F110" s="15" t="n">
        <x:f>SUMIFS('Responses'!$C$2:$C$601,'Responses'!$A$2:$A$601,A110,'Responses'!$B$2:$B$601,'Strategies'!$A$3)</x:f>
        <x:v>0</x:v>
      </x:c>
    </x:row>
    <x:row r="111">
      <x:c r="A111" s="14" t="n">
        <x:v>110</x:v>
      </x:c>
      <x:c r="B111" s="14" t="n">
        <x:v>4</x:v>
      </x:c>
      <x:c r="C111" s="14" t="n">
        <x:v>550</x:v>
      </x:c>
      <x:c r="D111" s="14" t="n">
        <x:v>0</x:v>
      </x:c>
      <x:c r="E111" s="6" t="str">
        <x:v>Boutique</x:v>
      </x:c>
      <x:c r="F111" s="15" t="n">
        <x:f>SUMIFS('Responses'!$C$2:$C$601,'Responses'!$A$2:$A$601,A111,'Responses'!$B$2:$B$601,'Strategies'!$A$3)</x:f>
        <x:v>1</x:v>
      </x:c>
    </x:row>
    <x:row r="112">
      <x:c r="A112" s="14" t="n">
        <x:v>111</x:v>
      </x:c>
      <x:c r="B112" s="14" t="n">
        <x:v>4</x:v>
      </x:c>
      <x:c r="C112" s="14" t="n">
        <x:v>600</x:v>
      </x:c>
      <x:c r="D112" s="14" t="n">
        <x:v>0</x:v>
      </x:c>
      <x:c r="E112" s="6" t="str">
        <x:v>Online</x:v>
      </x:c>
      <x:c r="F112" s="15" t="n">
        <x:f>SUMIFS('Responses'!$C$2:$C$601,'Responses'!$A$2:$A$601,A112,'Responses'!$B$2:$B$601,'Strategies'!$A$3)</x:f>
        <x:v>1</x:v>
      </x:c>
    </x:row>
    <x:row r="113">
      <x:c r="A113" s="14" t="n">
        <x:v>112</x:v>
      </x:c>
      <x:c r="B113" s="14" t="n">
        <x:v>4</x:v>
      </x:c>
      <x:c r="C113" s="14" t="n">
        <x:v>800</x:v>
      </x:c>
      <x:c r="D113" s="14" t="n">
        <x:v>0</x:v>
      </x:c>
      <x:c r="E113" s="6" t="str">
        <x:v>Online</x:v>
      </x:c>
      <x:c r="F113" s="15" t="n">
        <x:f>SUMIFS('Responses'!$C$2:$C$601,'Responses'!$A$2:$A$601,A113,'Responses'!$B$2:$B$601,'Strategies'!$A$3)</x:f>
        <x:v>0</x:v>
      </x:c>
    </x:row>
    <x:row r="114">
      <x:c r="A114" s="14" t="n">
        <x:v>113</x:v>
      </x:c>
      <x:c r="B114" s="14" t="n">
        <x:v>4</x:v>
      </x:c>
      <x:c r="C114" s="14" t="n">
        <x:v>550</x:v>
      </x:c>
      <x:c r="D114" s="14" t="n">
        <x:v>0</x:v>
      </x:c>
      <x:c r="E114" s="6" t="str">
        <x:v>Specialist retail</x:v>
      </x:c>
      <x:c r="F114" s="15" t="n">
        <x:f>SUMIFS('Responses'!$C$2:$C$601,'Responses'!$A$2:$A$601,A114,'Responses'!$B$2:$B$601,'Strategies'!$A$3)</x:f>
        <x:v>1</x:v>
      </x:c>
    </x:row>
    <x:row r="115">
      <x:c r="A115" s="14" t="n">
        <x:v>114</x:v>
      </x:c>
      <x:c r="B115" s="14" t="n">
        <x:v>4</x:v>
      </x:c>
      <x:c r="C115" s="14" t="n">
        <x:v>600</x:v>
      </x:c>
      <x:c r="D115" s="14" t="n">
        <x:v>0</x:v>
      </x:c>
      <x:c r="E115" s="6" t="str">
        <x:v>Online</x:v>
      </x:c>
      <x:c r="F115" s="15" t="n">
        <x:f>SUMIFS('Responses'!$C$2:$C$601,'Responses'!$A$2:$A$601,A115,'Responses'!$B$2:$B$601,'Strategies'!$A$3)</x:f>
        <x:v>1</x:v>
      </x:c>
    </x:row>
    <x:row r="116">
      <x:c r="A116" s="14" t="n">
        <x:v>115</x:v>
      </x:c>
      <x:c r="B116" s="14" t="n">
        <x:v>4</x:v>
      </x:c>
      <x:c r="C116" s="14" t="n">
        <x:v>700</x:v>
      </x:c>
      <x:c r="D116" s="14" t="n">
        <x:v>0</x:v>
      </x:c>
      <x:c r="E116" s="6" t="str">
        <x:v>Online</x:v>
      </x:c>
      <x:c r="F116" s="15" t="n">
        <x:f>SUMIFS('Responses'!$C$2:$C$601,'Responses'!$A$2:$A$601,A116,'Responses'!$B$2:$B$601,'Strategies'!$A$3)</x:f>
        <x:v>1</x:v>
      </x:c>
    </x:row>
    <x:row r="117">
      <x:c r="A117" s="14" t="n">
        <x:v>116</x:v>
      </x:c>
      <x:c r="B117" s="14" t="n">
        <x:v>4</x:v>
      </x:c>
      <x:c r="C117" s="14" t="n">
        <x:v>800</x:v>
      </x:c>
      <x:c r="D117" s="14" t="n">
        <x:v>0</x:v>
      </x:c>
      <x:c r="E117" s="6" t="str">
        <x:v>Specialist retail</x:v>
      </x:c>
      <x:c r="F117" s="15" t="n">
        <x:f>SUMIFS('Responses'!$C$2:$C$601,'Responses'!$A$2:$A$601,A117,'Responses'!$B$2:$B$601,'Strategies'!$A$3)</x:f>
        <x:v>1</x:v>
      </x:c>
    </x:row>
    <x:row r="118">
      <x:c r="A118" s="14" t="n">
        <x:v>117</x:v>
      </x:c>
      <x:c r="B118" s="14" t="n">
        <x:v>4</x:v>
      </x:c>
      <x:c r="C118" s="14" t="n">
        <x:v>650</x:v>
      </x:c>
      <x:c r="D118" s="14" t="n">
        <x:v>0</x:v>
      </x:c>
      <x:c r="E118" s="6" t="str">
        <x:v>Specialist retail</x:v>
      </x:c>
      <x:c r="F118" s="15" t="n">
        <x:f>SUMIFS('Responses'!$C$2:$C$601,'Responses'!$A$2:$A$601,A118,'Responses'!$B$2:$B$601,'Strategies'!$A$3)</x:f>
        <x:v>1</x:v>
      </x:c>
    </x:row>
    <x:row r="119">
      <x:c r="A119" s="14" t="n">
        <x:v>118</x:v>
      </x:c>
      <x:c r="B119" s="14" t="n">
        <x:v>4</x:v>
      </x:c>
      <x:c r="C119" s="14" t="n">
        <x:v>400</x:v>
      </x:c>
      <x:c r="D119" s="14" t="n">
        <x:v>0</x:v>
      </x:c>
      <x:c r="E119" s="6" t="str">
        <x:v>Specialist retail</x:v>
      </x:c>
      <x:c r="F119" s="15" t="n">
        <x:f>SUMIFS('Responses'!$C$2:$C$601,'Responses'!$A$2:$A$601,A119,'Responses'!$B$2:$B$601,'Strategies'!$A$3)</x:f>
        <x:v>0</x:v>
      </x:c>
    </x:row>
    <x:row r="120">
      <x:c r="A120" s="14" t="n">
        <x:v>119</x:v>
      </x:c>
      <x:c r="B120" s="14" t="n">
        <x:v>4</x:v>
      </x:c>
      <x:c r="C120" s="14" t="n">
        <x:v>550</x:v>
      </x:c>
      <x:c r="D120" s="14" t="n">
        <x:v>0</x:v>
      </x:c>
      <x:c r="E120" s="6" t="str">
        <x:v>Online</x:v>
      </x:c>
      <x:c r="F120" s="15" t="n">
        <x:f>SUMIFS('Responses'!$C$2:$C$601,'Responses'!$A$2:$A$601,A120,'Responses'!$B$2:$B$601,'Strategies'!$A$3)</x:f>
        <x:v>1</x:v>
      </x:c>
    </x:row>
    <x:row r="121">
      <x:c r="A121" s="14" t="n">
        <x:v>120</x:v>
      </x:c>
      <x:c r="B121" s="14" t="n">
        <x:v>4</x:v>
      </x:c>
      <x:c r="C121" s="14" t="n">
        <x:v>700</x:v>
      </x:c>
      <x:c r="D121" s="14" t="n">
        <x:v>0</x:v>
      </x:c>
      <x:c r="E121" s="6" t="str">
        <x:v>Online</x:v>
      </x:c>
      <x:c r="F121" s="15" t="n">
        <x:f>SUMIFS('Responses'!$C$2:$C$601,'Responses'!$A$2:$A$601,A121,'Responses'!$B$2:$B$601,'Strategies'!$A$3)</x:f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respondent id</x:v>
      </x:c>
      <x:c r="B1" s="4" t="str">
        <x:v>strategy id</x:v>
      </x:c>
      <x:c r="C1" s="4" t="str">
        <x:v>interested</x:v>
      </x:c>
      <x:c r="D1" s="9" t="str">
        <x:v>Qualified</x:v>
      </x:c>
      <x:c r="E1" s="9" t="str">
        <x:v>Segment ID</x:v>
      </x:c>
    </x:row>
    <x:row r="2">
      <x:c r="A2" s="14" t="n">
        <x:v>1</x:v>
      </x:c>
      <x:c r="B2" s="14" t="n">
        <x:v>1</x:v>
      </x:c>
      <x:c r="C2" s="14" t="n">
        <x:v>1</x:v>
      </x:c>
      <x:c r="D2" s="15" t="n">
        <x:f>IF(AND(C2=1,INDEX('Respondents'!$C$2:$C$121,MATCH(A2,'Respondents'!$A$2:$A$121,0))&gt;=INDEX('Strategies'!$C$2:$C$6,MATCH(B2,'Strategies'!$A$2:$A$6,0))),1,0)</x:f>
        <x:v>0</x:v>
      </x:c>
      <x:c r="E2" s="15" t="n">
        <x:f>INDEX('Respondents'!$B$2:$B$121,MATCH(A2,'Respondents'!$A$2:$A$121,0))</x:f>
        <x:v>1</x:v>
      </x:c>
    </x:row>
    <x:row r="3">
      <x:c r="A3" s="14" t="n">
        <x:v>1</x:v>
      </x:c>
      <x:c r="B3" s="14" t="n">
        <x:v>2</x:v>
      </x:c>
      <x:c r="C3" s="14" t="n">
        <x:v>1</x:v>
      </x:c>
      <x:c r="D3" s="15" t="n">
        <x:f>IF(AND(C3=1,INDEX('Respondents'!$C$2:$C$121,MATCH(A3,'Respondents'!$A$2:$A$121,0))&gt;=INDEX('Strategies'!$C$2:$C$6,MATCH(B3,'Strategies'!$A$2:$A$6,0))),1,0)</x:f>
        <x:v>1</x:v>
      </x:c>
      <x:c r="E3" s="15" t="n">
        <x:f>INDEX('Respondents'!$B$2:$B$121,MATCH(A3,'Respondents'!$A$2:$A$121,0))</x:f>
        <x:v>1</x:v>
      </x:c>
    </x:row>
    <x:row r="4">
      <x:c r="A4" s="14" t="n">
        <x:v>1</x:v>
      </x:c>
      <x:c r="B4" s="14" t="n">
        <x:v>3</x:v>
      </x:c>
      <x:c r="C4" s="14" t="n">
        <x:v>1</x:v>
      </x:c>
      <x:c r="D4" s="15" t="n">
        <x:f>IF(AND(C4=1,INDEX('Respondents'!$C$2:$C$121,MATCH(A4,'Respondents'!$A$2:$A$121,0))&gt;=INDEX('Strategies'!$C$2:$C$6,MATCH(B4,'Strategies'!$A$2:$A$6,0))),1,0)</x:f>
        <x:v>0</x:v>
      </x:c>
      <x:c r="E4" s="15" t="n">
        <x:f>INDEX('Respondents'!$B$2:$B$121,MATCH(A4,'Respondents'!$A$2:$A$121,0))</x:f>
        <x:v>1</x:v>
      </x:c>
    </x:row>
    <x:row r="5">
      <x:c r="A5" s="14" t="n">
        <x:v>1</x:v>
      </x:c>
      <x:c r="B5" s="14" t="n">
        <x:v>4</x:v>
      </x:c>
      <x:c r="C5" s="14" t="n">
        <x:v>1</x:v>
      </x:c>
      <x:c r="D5" s="15" t="n">
        <x:f>IF(AND(C5=1,INDEX('Respondents'!$C$2:$C$121,MATCH(A5,'Respondents'!$A$2:$A$121,0))&gt;=INDEX('Strategies'!$C$2:$C$6,MATCH(B5,'Strategies'!$A$2:$A$6,0))),1,0)</x:f>
        <x:v>1</x:v>
      </x:c>
      <x:c r="E5" s="15" t="n">
        <x:f>INDEX('Respondents'!$B$2:$B$121,MATCH(A5,'Respondents'!$A$2:$A$121,0))</x:f>
        <x:v>1</x:v>
      </x:c>
    </x:row>
    <x:row r="6">
      <x:c r="A6" s="14" t="n">
        <x:v>1</x:v>
      </x:c>
      <x:c r="B6" s="14" t="n">
        <x:v>5</x:v>
      </x:c>
      <x:c r="C6" s="14" t="n">
        <x:v>1</x:v>
      </x:c>
      <x:c r="D6" s="15" t="n">
        <x:f>IF(AND(C6=1,INDEX('Respondents'!$C$2:$C$121,MATCH(A6,'Respondents'!$A$2:$A$121,0))&gt;=INDEX('Strategies'!$C$2:$C$6,MATCH(B6,'Strategies'!$A$2:$A$6,0))),1,0)</x:f>
        <x:v>0</x:v>
      </x:c>
      <x:c r="E6" s="15" t="n">
        <x:f>INDEX('Respondents'!$B$2:$B$121,MATCH(A6,'Respondents'!$A$2:$A$121,0))</x:f>
        <x:v>1</x:v>
      </x:c>
    </x:row>
    <x:row r="7">
      <x:c r="A7" s="14" t="n">
        <x:v>2</x:v>
      </x:c>
      <x:c r="B7" s="14" t="n">
        <x:v>1</x:v>
      </x:c>
      <x:c r="C7" s="14" t="n">
        <x:v>1</x:v>
      </x:c>
      <x:c r="D7" s="15" t="n">
        <x:f>IF(AND(C7=1,INDEX('Respondents'!$C$2:$C$121,MATCH(A7,'Respondents'!$A$2:$A$121,0))&gt;=INDEX('Strategies'!$C$2:$C$6,MATCH(B7,'Strategies'!$A$2:$A$6,0))),1,0)</x:f>
        <x:v>0</x:v>
      </x:c>
      <x:c r="E7" s="15" t="n">
        <x:f>INDEX('Respondents'!$B$2:$B$121,MATCH(A7,'Respondents'!$A$2:$A$121,0))</x:f>
        <x:v>1</x:v>
      </x:c>
    </x:row>
    <x:row r="8">
      <x:c r="A8" s="14" t="n">
        <x:v>2</x:v>
      </x:c>
      <x:c r="B8" s="14" t="n">
        <x:v>2</x:v>
      </x:c>
      <x:c r="C8" s="14" t="n">
        <x:v>1</x:v>
      </x:c>
      <x:c r="D8" s="15" t="n">
        <x:f>IF(AND(C8=1,INDEX('Respondents'!$C$2:$C$121,MATCH(A8,'Respondents'!$A$2:$A$121,0))&gt;=INDEX('Strategies'!$C$2:$C$6,MATCH(B8,'Strategies'!$A$2:$A$6,0))),1,0)</x:f>
        <x:v>1</x:v>
      </x:c>
      <x:c r="E8" s="15" t="n">
        <x:f>INDEX('Respondents'!$B$2:$B$121,MATCH(A8,'Respondents'!$A$2:$A$121,0))</x:f>
        <x:v>1</x:v>
      </x:c>
    </x:row>
    <x:row r="9">
      <x:c r="A9" s="14" t="n">
        <x:v>2</x:v>
      </x:c>
      <x:c r="B9" s="14" t="n">
        <x:v>3</x:v>
      </x:c>
      <x:c r="C9" s="14" t="n">
        <x:v>1</x:v>
      </x:c>
      <x:c r="D9" s="15" t="n">
        <x:f>IF(AND(C9=1,INDEX('Respondents'!$C$2:$C$121,MATCH(A9,'Respondents'!$A$2:$A$121,0))&gt;=INDEX('Strategies'!$C$2:$C$6,MATCH(B9,'Strategies'!$A$2:$A$6,0))),1,0)</x:f>
        <x:v>0</x:v>
      </x:c>
      <x:c r="E9" s="15" t="n">
        <x:f>INDEX('Respondents'!$B$2:$B$121,MATCH(A9,'Respondents'!$A$2:$A$121,0))</x:f>
        <x:v>1</x:v>
      </x:c>
    </x:row>
    <x:row r="10">
      <x:c r="A10" s="14" t="n">
        <x:v>2</x:v>
      </x:c>
      <x:c r="B10" s="14" t="n">
        <x:v>4</x:v>
      </x:c>
      <x:c r="C10" s="14" t="n">
        <x:v>1</x:v>
      </x:c>
      <x:c r="D10" s="15" t="n">
        <x:f>IF(AND(C10=1,INDEX('Respondents'!$C$2:$C$121,MATCH(A10,'Respondents'!$A$2:$A$121,0))&gt;=INDEX('Strategies'!$C$2:$C$6,MATCH(B10,'Strategies'!$A$2:$A$6,0))),1,0)</x:f>
        <x:v>1</x:v>
      </x:c>
      <x:c r="E10" s="15" t="n">
        <x:f>INDEX('Respondents'!$B$2:$B$121,MATCH(A10,'Respondents'!$A$2:$A$121,0))</x:f>
        <x:v>1</x:v>
      </x:c>
    </x:row>
    <x:row r="11">
      <x:c r="A11" s="14" t="n">
        <x:v>2</x:v>
      </x:c>
      <x:c r="B11" s="14" t="n">
        <x:v>5</x:v>
      </x:c>
      <x:c r="C11" s="14" t="n">
        <x:v>0</x:v>
      </x:c>
      <x:c r="D11" s="15" t="n">
        <x:f>IF(AND(C11=1,INDEX('Respondents'!$C$2:$C$121,MATCH(A11,'Respondents'!$A$2:$A$121,0))&gt;=INDEX('Strategies'!$C$2:$C$6,MATCH(B11,'Strategies'!$A$2:$A$6,0))),1,0)</x:f>
        <x:v>0</x:v>
      </x:c>
      <x:c r="E11" s="15" t="n">
        <x:f>INDEX('Respondents'!$B$2:$B$121,MATCH(A11,'Respondents'!$A$2:$A$121,0))</x:f>
        <x:v>1</x:v>
      </x:c>
    </x:row>
    <x:row r="12">
      <x:c r="A12" s="14" t="n">
        <x:v>3</x:v>
      </x:c>
      <x:c r="B12" s="14" t="n">
        <x:v>1</x:v>
      </x:c>
      <x:c r="C12" s="14" t="n">
        <x:v>1</x:v>
      </x:c>
      <x:c r="D12" s="15" t="n">
        <x:f>IF(AND(C12=1,INDEX('Respondents'!$C$2:$C$121,MATCH(A12,'Respondents'!$A$2:$A$121,0))&gt;=INDEX('Strategies'!$C$2:$C$6,MATCH(B12,'Strategies'!$A$2:$A$6,0))),1,0)</x:f>
        <x:v>0</x:v>
      </x:c>
      <x:c r="E12" s="15" t="n">
        <x:f>INDEX('Respondents'!$B$2:$B$121,MATCH(A12,'Respondents'!$A$2:$A$121,0))</x:f>
        <x:v>1</x:v>
      </x:c>
    </x:row>
    <x:row r="13">
      <x:c r="A13" s="14" t="n">
        <x:v>3</x:v>
      </x:c>
      <x:c r="B13" s="14" t="n">
        <x:v>2</x:v>
      </x:c>
      <x:c r="C13" s="14" t="n">
        <x:v>1</x:v>
      </x:c>
      <x:c r="D13" s="15" t="n">
        <x:f>IF(AND(C13=1,INDEX('Respondents'!$C$2:$C$121,MATCH(A13,'Respondents'!$A$2:$A$121,0))&gt;=INDEX('Strategies'!$C$2:$C$6,MATCH(B13,'Strategies'!$A$2:$A$6,0))),1,0)</x:f>
        <x:v>1</x:v>
      </x:c>
      <x:c r="E13" s="15" t="n">
        <x:f>INDEX('Respondents'!$B$2:$B$121,MATCH(A13,'Respondents'!$A$2:$A$121,0))</x:f>
        <x:v>1</x:v>
      </x:c>
    </x:row>
    <x:row r="14">
      <x:c r="A14" s="14" t="n">
        <x:v>3</x:v>
      </x:c>
      <x:c r="B14" s="14" t="n">
        <x:v>3</x:v>
      </x:c>
      <x:c r="C14" s="14" t="n">
        <x:v>1</x:v>
      </x:c>
      <x:c r="D14" s="15" t="n">
        <x:f>IF(AND(C14=1,INDEX('Respondents'!$C$2:$C$121,MATCH(A14,'Respondents'!$A$2:$A$121,0))&gt;=INDEX('Strategies'!$C$2:$C$6,MATCH(B14,'Strategies'!$A$2:$A$6,0))),1,0)</x:f>
        <x:v>0</x:v>
      </x:c>
      <x:c r="E14" s="15" t="n">
        <x:f>INDEX('Respondents'!$B$2:$B$121,MATCH(A14,'Respondents'!$A$2:$A$121,0))</x:f>
        <x:v>1</x:v>
      </x:c>
    </x:row>
    <x:row r="15">
      <x:c r="A15" s="14" t="n">
        <x:v>3</x:v>
      </x:c>
      <x:c r="B15" s="14" t="n">
        <x:v>4</x:v>
      </x:c>
      <x:c r="C15" s="14" t="n">
        <x:v>1</x:v>
      </x:c>
      <x:c r="D15" s="15" t="n">
        <x:f>IF(AND(C15=1,INDEX('Respondents'!$C$2:$C$121,MATCH(A15,'Respondents'!$A$2:$A$121,0))&gt;=INDEX('Strategies'!$C$2:$C$6,MATCH(B15,'Strategies'!$A$2:$A$6,0))),1,0)</x:f>
        <x:v>1</x:v>
      </x:c>
      <x:c r="E15" s="15" t="n">
        <x:f>INDEX('Respondents'!$B$2:$B$121,MATCH(A15,'Respondents'!$A$2:$A$121,0))</x:f>
        <x:v>1</x:v>
      </x:c>
    </x:row>
    <x:row r="16">
      <x:c r="A16" s="14" t="n">
        <x:v>3</x:v>
      </x:c>
      <x:c r="B16" s="14" t="n">
        <x:v>5</x:v>
      </x:c>
      <x:c r="C16" s="14" t="n">
        <x:v>1</x:v>
      </x:c>
      <x:c r="D16" s="15" t="n">
        <x:f>IF(AND(C16=1,INDEX('Respondents'!$C$2:$C$121,MATCH(A16,'Respondents'!$A$2:$A$121,0))&gt;=INDEX('Strategies'!$C$2:$C$6,MATCH(B16,'Strategies'!$A$2:$A$6,0))),1,0)</x:f>
        <x:v>0</x:v>
      </x:c>
      <x:c r="E16" s="15" t="n">
        <x:f>INDEX('Respondents'!$B$2:$B$121,MATCH(A16,'Respondents'!$A$2:$A$121,0))</x:f>
        <x:v>1</x:v>
      </x:c>
    </x:row>
    <x:row r="17">
      <x:c r="A17" s="14" t="n">
        <x:v>4</x:v>
      </x:c>
      <x:c r="B17" s="14" t="n">
        <x:v>1</x:v>
      </x:c>
      <x:c r="C17" s="14" t="n">
        <x:v>1</x:v>
      </x:c>
      <x:c r="D17" s="15" t="n">
        <x:f>IF(AND(C17=1,INDEX('Respondents'!$C$2:$C$121,MATCH(A17,'Respondents'!$A$2:$A$121,0))&gt;=INDEX('Strategies'!$C$2:$C$6,MATCH(B17,'Strategies'!$A$2:$A$6,0))),1,0)</x:f>
        <x:v>0</x:v>
      </x:c>
      <x:c r="E17" s="15" t="n">
        <x:f>INDEX('Respondents'!$B$2:$B$121,MATCH(A17,'Respondents'!$A$2:$A$121,0))</x:f>
        <x:v>1</x:v>
      </x:c>
    </x:row>
    <x:row r="18">
      <x:c r="A18" s="14" t="n">
        <x:v>4</x:v>
      </x:c>
      <x:c r="B18" s="14" t="n">
        <x:v>2</x:v>
      </x:c>
      <x:c r="C18" s="14" t="n">
        <x:v>1</x:v>
      </x:c>
      <x:c r="D18" s="15" t="n">
        <x:f>IF(AND(C18=1,INDEX('Respondents'!$C$2:$C$121,MATCH(A18,'Respondents'!$A$2:$A$121,0))&gt;=INDEX('Strategies'!$C$2:$C$6,MATCH(B18,'Strategies'!$A$2:$A$6,0))),1,0)</x:f>
        <x:v>0</x:v>
      </x:c>
      <x:c r="E18" s="15" t="n">
        <x:f>INDEX('Respondents'!$B$2:$B$121,MATCH(A18,'Respondents'!$A$2:$A$121,0))</x:f>
        <x:v>1</x:v>
      </x:c>
    </x:row>
    <x:row r="19">
      <x:c r="A19" s="14" t="n">
        <x:v>4</x:v>
      </x:c>
      <x:c r="B19" s="14" t="n">
        <x:v>3</x:v>
      </x:c>
      <x:c r="C19" s="14" t="n">
        <x:v>1</x:v>
      </x:c>
      <x:c r="D19" s="15" t="n">
        <x:f>IF(AND(C19=1,INDEX('Respondents'!$C$2:$C$121,MATCH(A19,'Respondents'!$A$2:$A$121,0))&gt;=INDEX('Strategies'!$C$2:$C$6,MATCH(B19,'Strategies'!$A$2:$A$6,0))),1,0)</x:f>
        <x:v>0</x:v>
      </x:c>
      <x:c r="E19" s="15" t="n">
        <x:f>INDEX('Respondents'!$B$2:$B$121,MATCH(A19,'Respondents'!$A$2:$A$121,0))</x:f>
        <x:v>1</x:v>
      </x:c>
    </x:row>
    <x:row r="20">
      <x:c r="A20" s="14" t="n">
        <x:v>4</x:v>
      </x:c>
      <x:c r="B20" s="14" t="n">
        <x:v>4</x:v>
      </x:c>
      <x:c r="C20" s="14" t="n">
        <x:v>0</x:v>
      </x:c>
      <x:c r="D20" s="15" t="n">
        <x:f>IF(AND(C20=1,INDEX('Respondents'!$C$2:$C$121,MATCH(A20,'Respondents'!$A$2:$A$121,0))&gt;=INDEX('Strategies'!$C$2:$C$6,MATCH(B20,'Strategies'!$A$2:$A$6,0))),1,0)</x:f>
        <x:v>0</x:v>
      </x:c>
      <x:c r="E20" s="15" t="n">
        <x:f>INDEX('Respondents'!$B$2:$B$121,MATCH(A20,'Respondents'!$A$2:$A$121,0))</x:f>
        <x:v>1</x:v>
      </x:c>
    </x:row>
    <x:row r="21">
      <x:c r="A21" s="14" t="n">
        <x:v>4</x:v>
      </x:c>
      <x:c r="B21" s="14" t="n">
        <x:v>5</x:v>
      </x:c>
      <x:c r="C21" s="14" t="n">
        <x:v>1</x:v>
      </x:c>
      <x:c r="D21" s="15" t="n">
        <x:f>IF(AND(C21=1,INDEX('Respondents'!$C$2:$C$121,MATCH(A21,'Respondents'!$A$2:$A$121,0))&gt;=INDEX('Strategies'!$C$2:$C$6,MATCH(B21,'Strategies'!$A$2:$A$6,0))),1,0)</x:f>
        <x:v>0</x:v>
      </x:c>
      <x:c r="E21" s="15" t="n">
        <x:f>INDEX('Respondents'!$B$2:$B$121,MATCH(A21,'Respondents'!$A$2:$A$121,0))</x:f>
        <x:v>1</x:v>
      </x:c>
    </x:row>
    <x:row r="22">
      <x:c r="A22" s="14" t="n">
        <x:v>5</x:v>
      </x:c>
      <x:c r="B22" s="14" t="n">
        <x:v>1</x:v>
      </x:c>
      <x:c r="C22" s="14" t="n">
        <x:v>1</x:v>
      </x:c>
      <x:c r="D22" s="15" t="n">
        <x:f>IF(AND(C22=1,INDEX('Respondents'!$C$2:$C$121,MATCH(A22,'Respondents'!$A$2:$A$121,0))&gt;=INDEX('Strategies'!$C$2:$C$6,MATCH(B22,'Strategies'!$A$2:$A$6,0))),1,0)</x:f>
        <x:v>0</x:v>
      </x:c>
      <x:c r="E22" s="15" t="n">
        <x:f>INDEX('Respondents'!$B$2:$B$121,MATCH(A22,'Respondents'!$A$2:$A$121,0))</x:f>
        <x:v>1</x:v>
      </x:c>
    </x:row>
    <x:row r="23">
      <x:c r="A23" s="14" t="n">
        <x:v>5</x:v>
      </x:c>
      <x:c r="B23" s="14" t="n">
        <x:v>2</x:v>
      </x:c>
      <x:c r="C23" s="14" t="n">
        <x:v>0</x:v>
      </x:c>
      <x:c r="D23" s="15" t="n">
        <x:f>IF(AND(C23=1,INDEX('Respondents'!$C$2:$C$121,MATCH(A23,'Respondents'!$A$2:$A$121,0))&gt;=INDEX('Strategies'!$C$2:$C$6,MATCH(B23,'Strategies'!$A$2:$A$6,0))),1,0)</x:f>
        <x:v>0</x:v>
      </x:c>
      <x:c r="E23" s="15" t="n">
        <x:f>INDEX('Respondents'!$B$2:$B$121,MATCH(A23,'Respondents'!$A$2:$A$121,0))</x:f>
        <x:v>1</x:v>
      </x:c>
    </x:row>
    <x:row r="24">
      <x:c r="A24" s="14" t="n">
        <x:v>5</x:v>
      </x:c>
      <x:c r="B24" s="14" t="n">
        <x:v>3</x:v>
      </x:c>
      <x:c r="C24" s="14" t="n">
        <x:v>1</x:v>
      </x:c>
      <x:c r="D24" s="15" t="n">
        <x:f>IF(AND(C24=1,INDEX('Respondents'!$C$2:$C$121,MATCH(A24,'Respondents'!$A$2:$A$121,0))&gt;=INDEX('Strategies'!$C$2:$C$6,MATCH(B24,'Strategies'!$A$2:$A$6,0))),1,0)</x:f>
        <x:v>0</x:v>
      </x:c>
      <x:c r="E24" s="15" t="n">
        <x:f>INDEX('Respondents'!$B$2:$B$121,MATCH(A24,'Respondents'!$A$2:$A$121,0))</x:f>
        <x:v>1</x:v>
      </x:c>
    </x:row>
    <x:row r="25">
      <x:c r="A25" s="14" t="n">
        <x:v>5</x:v>
      </x:c>
      <x:c r="B25" s="14" t="n">
        <x:v>4</x:v>
      </x:c>
      <x:c r="C25" s="14" t="n">
        <x:v>0</x:v>
      </x:c>
      <x:c r="D25" s="15" t="n">
        <x:f>IF(AND(C25=1,INDEX('Respondents'!$C$2:$C$121,MATCH(A25,'Respondents'!$A$2:$A$121,0))&gt;=INDEX('Strategies'!$C$2:$C$6,MATCH(B25,'Strategies'!$A$2:$A$6,0))),1,0)</x:f>
        <x:v>0</x:v>
      </x:c>
      <x:c r="E25" s="15" t="n">
        <x:f>INDEX('Respondents'!$B$2:$B$121,MATCH(A25,'Respondents'!$A$2:$A$121,0))</x:f>
        <x:v>1</x:v>
      </x:c>
    </x:row>
    <x:row r="26">
      <x:c r="A26" s="14" t="n">
        <x:v>5</x:v>
      </x:c>
      <x:c r="B26" s="14" t="n">
        <x:v>5</x:v>
      </x:c>
      <x:c r="C26" s="14" t="n">
        <x:v>1</x:v>
      </x:c>
      <x:c r="D26" s="15" t="n">
        <x:f>IF(AND(C26=1,INDEX('Respondents'!$C$2:$C$121,MATCH(A26,'Respondents'!$A$2:$A$121,0))&gt;=INDEX('Strategies'!$C$2:$C$6,MATCH(B26,'Strategies'!$A$2:$A$6,0))),1,0)</x:f>
        <x:v>0</x:v>
      </x:c>
      <x:c r="E26" s="15" t="n">
        <x:f>INDEX('Respondents'!$B$2:$B$121,MATCH(A26,'Respondents'!$A$2:$A$121,0))</x:f>
        <x:v>1</x:v>
      </x:c>
    </x:row>
    <x:row r="27">
      <x:c r="A27" s="14" t="n">
        <x:v>6</x:v>
      </x:c>
      <x:c r="B27" s="14" t="n">
        <x:v>1</x:v>
      </x:c>
      <x:c r="C27" s="14" t="n">
        <x:v>1</x:v>
      </x:c>
      <x:c r="D27" s="15" t="n">
        <x:f>IF(AND(C27=1,INDEX('Respondents'!$C$2:$C$121,MATCH(A27,'Respondents'!$A$2:$A$121,0))&gt;=INDEX('Strategies'!$C$2:$C$6,MATCH(B27,'Strategies'!$A$2:$A$6,0))),1,0)</x:f>
        <x:v>0</x:v>
      </x:c>
      <x:c r="E27" s="15" t="n">
        <x:f>INDEX('Respondents'!$B$2:$B$121,MATCH(A27,'Respondents'!$A$2:$A$121,0))</x:f>
        <x:v>1</x:v>
      </x:c>
    </x:row>
    <x:row r="28">
      <x:c r="A28" s="14" t="n">
        <x:v>6</x:v>
      </x:c>
      <x:c r="B28" s="14" t="n">
        <x:v>2</x:v>
      </x:c>
      <x:c r="C28" s="14" t="n">
        <x:v>1</x:v>
      </x:c>
      <x:c r="D28" s="15" t="n">
        <x:f>IF(AND(C28=1,INDEX('Respondents'!$C$2:$C$121,MATCH(A28,'Respondents'!$A$2:$A$121,0))&gt;=INDEX('Strategies'!$C$2:$C$6,MATCH(B28,'Strategies'!$A$2:$A$6,0))),1,0)</x:f>
        <x:v>1</x:v>
      </x:c>
      <x:c r="E28" s="15" t="n">
        <x:f>INDEX('Respondents'!$B$2:$B$121,MATCH(A28,'Respondents'!$A$2:$A$121,0))</x:f>
        <x:v>1</x:v>
      </x:c>
    </x:row>
    <x:row r="29">
      <x:c r="A29" s="14" t="n">
        <x:v>6</x:v>
      </x:c>
      <x:c r="B29" s="14" t="n">
        <x:v>3</x:v>
      </x:c>
      <x:c r="C29" s="14" t="n">
        <x:v>1</x:v>
      </x:c>
      <x:c r="D29" s="15" t="n">
        <x:f>IF(AND(C29=1,INDEX('Respondents'!$C$2:$C$121,MATCH(A29,'Respondents'!$A$2:$A$121,0))&gt;=INDEX('Strategies'!$C$2:$C$6,MATCH(B29,'Strategies'!$A$2:$A$6,0))),1,0)</x:f>
        <x:v>0</x:v>
      </x:c>
      <x:c r="E29" s="15" t="n">
        <x:f>INDEX('Respondents'!$B$2:$B$121,MATCH(A29,'Respondents'!$A$2:$A$121,0))</x:f>
        <x:v>1</x:v>
      </x:c>
    </x:row>
    <x:row r="30">
      <x:c r="A30" s="14" t="n">
        <x:v>6</x:v>
      </x:c>
      <x:c r="B30" s="14" t="n">
        <x:v>4</x:v>
      </x:c>
      <x:c r="C30" s="14" t="n">
        <x:v>0</x:v>
      </x:c>
      <x:c r="D30" s="15" t="n">
        <x:f>IF(AND(C30=1,INDEX('Respondents'!$C$2:$C$121,MATCH(A30,'Respondents'!$A$2:$A$121,0))&gt;=INDEX('Strategies'!$C$2:$C$6,MATCH(B30,'Strategies'!$A$2:$A$6,0))),1,0)</x:f>
        <x:v>0</x:v>
      </x:c>
      <x:c r="E30" s="15" t="n">
        <x:f>INDEX('Respondents'!$B$2:$B$121,MATCH(A30,'Respondents'!$A$2:$A$121,0))</x:f>
        <x:v>1</x:v>
      </x:c>
    </x:row>
    <x:row r="31">
      <x:c r="A31" s="14" t="n">
        <x:v>6</x:v>
      </x:c>
      <x:c r="B31" s="14" t="n">
        <x:v>5</x:v>
      </x:c>
      <x:c r="C31" s="14" t="n">
        <x:v>1</x:v>
      </x:c>
      <x:c r="D31" s="15" t="n">
        <x:f>IF(AND(C31=1,INDEX('Respondents'!$C$2:$C$121,MATCH(A31,'Respondents'!$A$2:$A$121,0))&gt;=INDEX('Strategies'!$C$2:$C$6,MATCH(B31,'Strategies'!$A$2:$A$6,0))),1,0)</x:f>
        <x:v>0</x:v>
      </x:c>
      <x:c r="E31" s="15" t="n">
        <x:f>INDEX('Respondents'!$B$2:$B$121,MATCH(A31,'Respondents'!$A$2:$A$121,0))</x:f>
        <x:v>1</x:v>
      </x:c>
    </x:row>
    <x:row r="32">
      <x:c r="A32" s="14" t="n">
        <x:v>7</x:v>
      </x:c>
      <x:c r="B32" s="14" t="n">
        <x:v>1</x:v>
      </x:c>
      <x:c r="C32" s="14" t="n">
        <x:v>1</x:v>
      </x:c>
      <x:c r="D32" s="15" t="n">
        <x:f>IF(AND(C32=1,INDEX('Respondents'!$C$2:$C$121,MATCH(A32,'Respondents'!$A$2:$A$121,0))&gt;=INDEX('Strategies'!$C$2:$C$6,MATCH(B32,'Strategies'!$A$2:$A$6,0))),1,0)</x:f>
        <x:v>0</x:v>
      </x:c>
      <x:c r="E32" s="15" t="n">
        <x:f>INDEX('Respondents'!$B$2:$B$121,MATCH(A32,'Respondents'!$A$2:$A$121,0))</x:f>
        <x:v>1</x:v>
      </x:c>
    </x:row>
    <x:row r="33">
      <x:c r="A33" s="14" t="n">
        <x:v>7</x:v>
      </x:c>
      <x:c r="B33" s="14" t="n">
        <x:v>2</x:v>
      </x:c>
      <x:c r="C33" s="14" t="n">
        <x:v>1</x:v>
      </x:c>
      <x:c r="D33" s="15" t="n">
        <x:f>IF(AND(C33=1,INDEX('Respondents'!$C$2:$C$121,MATCH(A33,'Respondents'!$A$2:$A$121,0))&gt;=INDEX('Strategies'!$C$2:$C$6,MATCH(B33,'Strategies'!$A$2:$A$6,0))),1,0)</x:f>
        <x:v>1</x:v>
      </x:c>
      <x:c r="E33" s="15" t="n">
        <x:f>INDEX('Respondents'!$B$2:$B$121,MATCH(A33,'Respondents'!$A$2:$A$121,0))</x:f>
        <x:v>1</x:v>
      </x:c>
    </x:row>
    <x:row r="34">
      <x:c r="A34" s="14" t="n">
        <x:v>7</x:v>
      </x:c>
      <x:c r="B34" s="14" t="n">
        <x:v>3</x:v>
      </x:c>
      <x:c r="C34" s="14" t="n">
        <x:v>1</x:v>
      </x:c>
      <x:c r="D34" s="15" t="n">
        <x:f>IF(AND(C34=1,INDEX('Respondents'!$C$2:$C$121,MATCH(A34,'Respondents'!$A$2:$A$121,0))&gt;=INDEX('Strategies'!$C$2:$C$6,MATCH(B34,'Strategies'!$A$2:$A$6,0))),1,0)</x:f>
        <x:v>0</x:v>
      </x:c>
      <x:c r="E34" s="15" t="n">
        <x:f>INDEX('Respondents'!$B$2:$B$121,MATCH(A34,'Respondents'!$A$2:$A$121,0))</x:f>
        <x:v>1</x:v>
      </x:c>
    </x:row>
    <x:row r="35">
      <x:c r="A35" s="14" t="n">
        <x:v>7</x:v>
      </x:c>
      <x:c r="B35" s="14" t="n">
        <x:v>4</x:v>
      </x:c>
      <x:c r="C35" s="14" t="n">
        <x:v>1</x:v>
      </x:c>
      <x:c r="D35" s="15" t="n">
        <x:f>IF(AND(C35=1,INDEX('Respondents'!$C$2:$C$121,MATCH(A35,'Respondents'!$A$2:$A$121,0))&gt;=INDEX('Strategies'!$C$2:$C$6,MATCH(B35,'Strategies'!$A$2:$A$6,0))),1,0)</x:f>
        <x:v>1</x:v>
      </x:c>
      <x:c r="E35" s="15" t="n">
        <x:f>INDEX('Respondents'!$B$2:$B$121,MATCH(A35,'Respondents'!$A$2:$A$121,0))</x:f>
        <x:v>1</x:v>
      </x:c>
    </x:row>
    <x:row r="36">
      <x:c r="A36" s="14" t="n">
        <x:v>7</x:v>
      </x:c>
      <x:c r="B36" s="14" t="n">
        <x:v>5</x:v>
      </x:c>
      <x:c r="C36" s="14" t="n">
        <x:v>1</x:v>
      </x:c>
      <x:c r="D36" s="15" t="n">
        <x:f>IF(AND(C36=1,INDEX('Respondents'!$C$2:$C$121,MATCH(A36,'Respondents'!$A$2:$A$121,0))&gt;=INDEX('Strategies'!$C$2:$C$6,MATCH(B36,'Strategies'!$A$2:$A$6,0))),1,0)</x:f>
        <x:v>0</x:v>
      </x:c>
      <x:c r="E36" s="15" t="n">
        <x:f>INDEX('Respondents'!$B$2:$B$121,MATCH(A36,'Respondents'!$A$2:$A$121,0))</x:f>
        <x:v>1</x:v>
      </x:c>
    </x:row>
    <x:row r="37">
      <x:c r="A37" s="14" t="n">
        <x:v>8</x:v>
      </x:c>
      <x:c r="B37" s="14" t="n">
        <x:v>1</x:v>
      </x:c>
      <x:c r="C37" s="14" t="n">
        <x:v>0</x:v>
      </x:c>
      <x:c r="D37" s="15" t="n">
        <x:f>IF(AND(C37=1,INDEX('Respondents'!$C$2:$C$121,MATCH(A37,'Respondents'!$A$2:$A$121,0))&gt;=INDEX('Strategies'!$C$2:$C$6,MATCH(B37,'Strategies'!$A$2:$A$6,0))),1,0)</x:f>
        <x:v>0</x:v>
      </x:c>
      <x:c r="E37" s="15" t="n">
        <x:f>INDEX('Respondents'!$B$2:$B$121,MATCH(A37,'Respondents'!$A$2:$A$121,0))</x:f>
        <x:v>1</x:v>
      </x:c>
    </x:row>
    <x:row r="38">
      <x:c r="A38" s="14" t="n">
        <x:v>8</x:v>
      </x:c>
      <x:c r="B38" s="14" t="n">
        <x:v>2</x:v>
      </x:c>
      <x:c r="C38" s="14" t="n">
        <x:v>1</x:v>
      </x:c>
      <x:c r="D38" s="15" t="n">
        <x:f>IF(AND(C38=1,INDEX('Respondents'!$C$2:$C$121,MATCH(A38,'Respondents'!$A$2:$A$121,0))&gt;=INDEX('Strategies'!$C$2:$C$6,MATCH(B38,'Strategies'!$A$2:$A$6,0))),1,0)</x:f>
        <x:v>1</x:v>
      </x:c>
      <x:c r="E38" s="15" t="n">
        <x:f>INDEX('Respondents'!$B$2:$B$121,MATCH(A38,'Respondents'!$A$2:$A$121,0))</x:f>
        <x:v>1</x:v>
      </x:c>
    </x:row>
    <x:row r="39">
      <x:c r="A39" s="14" t="n">
        <x:v>8</x:v>
      </x:c>
      <x:c r="B39" s="14" t="n">
        <x:v>3</x:v>
      </x:c>
      <x:c r="C39" s="14" t="n">
        <x:v>1</x:v>
      </x:c>
      <x:c r="D39" s="15" t="n">
        <x:f>IF(AND(C39=1,INDEX('Respondents'!$C$2:$C$121,MATCH(A39,'Respondents'!$A$2:$A$121,0))&gt;=INDEX('Strategies'!$C$2:$C$6,MATCH(B39,'Strategies'!$A$2:$A$6,0))),1,0)</x:f>
        <x:v>0</x:v>
      </x:c>
      <x:c r="E39" s="15" t="n">
        <x:f>INDEX('Respondents'!$B$2:$B$121,MATCH(A39,'Respondents'!$A$2:$A$121,0))</x:f>
        <x:v>1</x:v>
      </x:c>
    </x:row>
    <x:row r="40">
      <x:c r="A40" s="14" t="n">
        <x:v>8</x:v>
      </x:c>
      <x:c r="B40" s="14" t="n">
        <x:v>4</x:v>
      </x:c>
      <x:c r="C40" s="14" t="n">
        <x:v>1</x:v>
      </x:c>
      <x:c r="D40" s="15" t="n">
        <x:f>IF(AND(C40=1,INDEX('Respondents'!$C$2:$C$121,MATCH(A40,'Respondents'!$A$2:$A$121,0))&gt;=INDEX('Strategies'!$C$2:$C$6,MATCH(B40,'Strategies'!$A$2:$A$6,0))),1,0)</x:f>
        <x:v>1</x:v>
      </x:c>
      <x:c r="E40" s="15" t="n">
        <x:f>INDEX('Respondents'!$B$2:$B$121,MATCH(A40,'Respondents'!$A$2:$A$121,0))</x:f>
        <x:v>1</x:v>
      </x:c>
    </x:row>
    <x:row r="41">
      <x:c r="A41" s="14" t="n">
        <x:v>8</x:v>
      </x:c>
      <x:c r="B41" s="14" t="n">
        <x:v>5</x:v>
      </x:c>
      <x:c r="C41" s="14" t="n">
        <x:v>0</x:v>
      </x:c>
      <x:c r="D41" s="15" t="n">
        <x:f>IF(AND(C41=1,INDEX('Respondents'!$C$2:$C$121,MATCH(A41,'Respondents'!$A$2:$A$121,0))&gt;=INDEX('Strategies'!$C$2:$C$6,MATCH(B41,'Strategies'!$A$2:$A$6,0))),1,0)</x:f>
        <x:v>0</x:v>
      </x:c>
      <x:c r="E41" s="15" t="n">
        <x:f>INDEX('Respondents'!$B$2:$B$121,MATCH(A41,'Respondents'!$A$2:$A$121,0))</x:f>
        <x:v>1</x:v>
      </x:c>
    </x:row>
    <x:row r="42">
      <x:c r="A42" s="14" t="n">
        <x:v>9</x:v>
      </x:c>
      <x:c r="B42" s="14" t="n">
        <x:v>1</x:v>
      </x:c>
      <x:c r="C42" s="14" t="n">
        <x:v>0</x:v>
      </x:c>
      <x:c r="D42" s="15" t="n">
        <x:f>IF(AND(C42=1,INDEX('Respondents'!$C$2:$C$121,MATCH(A42,'Respondents'!$A$2:$A$121,0))&gt;=INDEX('Strategies'!$C$2:$C$6,MATCH(B42,'Strategies'!$A$2:$A$6,0))),1,0)</x:f>
        <x:v>0</x:v>
      </x:c>
      <x:c r="E42" s="15" t="n">
        <x:f>INDEX('Respondents'!$B$2:$B$121,MATCH(A42,'Respondents'!$A$2:$A$121,0))</x:f>
        <x:v>1</x:v>
      </x:c>
    </x:row>
    <x:row r="43">
      <x:c r="A43" s="14" t="n">
        <x:v>9</x:v>
      </x:c>
      <x:c r="B43" s="14" t="n">
        <x:v>2</x:v>
      </x:c>
      <x:c r="C43" s="14" t="n">
        <x:v>1</x:v>
      </x:c>
      <x:c r="D43" s="15" t="n">
        <x:f>IF(AND(C43=1,INDEX('Respondents'!$C$2:$C$121,MATCH(A43,'Respondents'!$A$2:$A$121,0))&gt;=INDEX('Strategies'!$C$2:$C$6,MATCH(B43,'Strategies'!$A$2:$A$6,0))),1,0)</x:f>
        <x:v>0</x:v>
      </x:c>
      <x:c r="E43" s="15" t="n">
        <x:f>INDEX('Respondents'!$B$2:$B$121,MATCH(A43,'Respondents'!$A$2:$A$121,0))</x:f>
        <x:v>1</x:v>
      </x:c>
    </x:row>
    <x:row r="44">
      <x:c r="A44" s="14" t="n">
        <x:v>9</x:v>
      </x:c>
      <x:c r="B44" s="14" t="n">
        <x:v>3</x:v>
      </x:c>
      <x:c r="C44" s="14" t="n">
        <x:v>1</x:v>
      </x:c>
      <x:c r="D44" s="15" t="n">
        <x:f>IF(AND(C44=1,INDEX('Respondents'!$C$2:$C$121,MATCH(A44,'Respondents'!$A$2:$A$121,0))&gt;=INDEX('Strategies'!$C$2:$C$6,MATCH(B44,'Strategies'!$A$2:$A$6,0))),1,0)</x:f>
        <x:v>0</x:v>
      </x:c>
      <x:c r="E44" s="15" t="n">
        <x:f>INDEX('Respondents'!$B$2:$B$121,MATCH(A44,'Respondents'!$A$2:$A$121,0))</x:f>
        <x:v>1</x:v>
      </x:c>
    </x:row>
    <x:row r="45">
      <x:c r="A45" s="14" t="n">
        <x:v>9</x:v>
      </x:c>
      <x:c r="B45" s="14" t="n">
        <x:v>4</x:v>
      </x:c>
      <x:c r="C45" s="14" t="n">
        <x:v>0</x:v>
      </x:c>
      <x:c r="D45" s="15" t="n">
        <x:f>IF(AND(C45=1,INDEX('Respondents'!$C$2:$C$121,MATCH(A45,'Respondents'!$A$2:$A$121,0))&gt;=INDEX('Strategies'!$C$2:$C$6,MATCH(B45,'Strategies'!$A$2:$A$6,0))),1,0)</x:f>
        <x:v>0</x:v>
      </x:c>
      <x:c r="E45" s="15" t="n">
        <x:f>INDEX('Respondents'!$B$2:$B$121,MATCH(A45,'Respondents'!$A$2:$A$121,0))</x:f>
        <x:v>1</x:v>
      </x:c>
    </x:row>
    <x:row r="46">
      <x:c r="A46" s="14" t="n">
        <x:v>9</x:v>
      </x:c>
      <x:c r="B46" s="14" t="n">
        <x:v>5</x:v>
      </x:c>
      <x:c r="C46" s="14" t="n">
        <x:v>0</x:v>
      </x:c>
      <x:c r="D46" s="15" t="n">
        <x:f>IF(AND(C46=1,INDEX('Respondents'!$C$2:$C$121,MATCH(A46,'Respondents'!$A$2:$A$121,0))&gt;=INDEX('Strategies'!$C$2:$C$6,MATCH(B46,'Strategies'!$A$2:$A$6,0))),1,0)</x:f>
        <x:v>0</x:v>
      </x:c>
      <x:c r="E46" s="15" t="n">
        <x:f>INDEX('Respondents'!$B$2:$B$121,MATCH(A46,'Respondents'!$A$2:$A$121,0))</x:f>
        <x:v>1</x:v>
      </x:c>
    </x:row>
    <x:row r="47">
      <x:c r="A47" s="14" t="n">
        <x:v>10</x:v>
      </x:c>
      <x:c r="B47" s="14" t="n">
        <x:v>1</x:v>
      </x:c>
      <x:c r="C47" s="14" t="n">
        <x:v>1</x:v>
      </x:c>
      <x:c r="D47" s="15" t="n">
        <x:f>IF(AND(C47=1,INDEX('Respondents'!$C$2:$C$121,MATCH(A47,'Respondents'!$A$2:$A$121,0))&gt;=INDEX('Strategies'!$C$2:$C$6,MATCH(B47,'Strategies'!$A$2:$A$6,0))),1,0)</x:f>
        <x:v>1</x:v>
      </x:c>
      <x:c r="E47" s="15" t="n">
        <x:f>INDEX('Respondents'!$B$2:$B$121,MATCH(A47,'Respondents'!$A$2:$A$121,0))</x:f>
        <x:v>1</x:v>
      </x:c>
    </x:row>
    <x:row r="48">
      <x:c r="A48" s="14" t="n">
        <x:v>10</x:v>
      </x:c>
      <x:c r="B48" s="14" t="n">
        <x:v>2</x:v>
      </x:c>
      <x:c r="C48" s="14" t="n">
        <x:v>1</x:v>
      </x:c>
      <x:c r="D48" s="15" t="n">
        <x:f>IF(AND(C48=1,INDEX('Respondents'!$C$2:$C$121,MATCH(A48,'Respondents'!$A$2:$A$121,0))&gt;=INDEX('Strategies'!$C$2:$C$6,MATCH(B48,'Strategies'!$A$2:$A$6,0))),1,0)</x:f>
        <x:v>1</x:v>
      </x:c>
      <x:c r="E48" s="15" t="n">
        <x:f>INDEX('Respondents'!$B$2:$B$121,MATCH(A48,'Respondents'!$A$2:$A$121,0))</x:f>
        <x:v>1</x:v>
      </x:c>
    </x:row>
    <x:row r="49">
      <x:c r="A49" s="14" t="n">
        <x:v>10</x:v>
      </x:c>
      <x:c r="B49" s="14" t="n">
        <x:v>3</x:v>
      </x:c>
      <x:c r="C49" s="14" t="n">
        <x:v>1</x:v>
      </x:c>
      <x:c r="D49" s="15" t="n">
        <x:f>IF(AND(C49=1,INDEX('Respondents'!$C$2:$C$121,MATCH(A49,'Respondents'!$A$2:$A$121,0))&gt;=INDEX('Strategies'!$C$2:$C$6,MATCH(B49,'Strategies'!$A$2:$A$6,0))),1,0)</x:f>
        <x:v>1</x:v>
      </x:c>
      <x:c r="E49" s="15" t="n">
        <x:f>INDEX('Respondents'!$B$2:$B$121,MATCH(A49,'Respondents'!$A$2:$A$121,0))</x:f>
        <x:v>1</x:v>
      </x:c>
    </x:row>
    <x:row r="50">
      <x:c r="A50" s="14" t="n">
        <x:v>10</x:v>
      </x:c>
      <x:c r="B50" s="14" t="n">
        <x:v>4</x:v>
      </x:c>
      <x:c r="C50" s="14" t="n">
        <x:v>1</x:v>
      </x:c>
      <x:c r="D50" s="15" t="n">
        <x:f>IF(AND(C50=1,INDEX('Respondents'!$C$2:$C$121,MATCH(A50,'Respondents'!$A$2:$A$121,0))&gt;=INDEX('Strategies'!$C$2:$C$6,MATCH(B50,'Strategies'!$A$2:$A$6,0))),1,0)</x:f>
        <x:v>1</x:v>
      </x:c>
      <x:c r="E50" s="15" t="n">
        <x:f>INDEX('Respondents'!$B$2:$B$121,MATCH(A50,'Respondents'!$A$2:$A$121,0))</x:f>
        <x:v>1</x:v>
      </x:c>
    </x:row>
    <x:row r="51">
      <x:c r="A51" s="14" t="n">
        <x:v>10</x:v>
      </x:c>
      <x:c r="B51" s="14" t="n">
        <x:v>5</x:v>
      </x:c>
      <x:c r="C51" s="14" t="n">
        <x:v>1</x:v>
      </x:c>
      <x:c r="D51" s="15" t="n">
        <x:f>IF(AND(C51=1,INDEX('Respondents'!$C$2:$C$121,MATCH(A51,'Respondents'!$A$2:$A$121,0))&gt;=INDEX('Strategies'!$C$2:$C$6,MATCH(B51,'Strategies'!$A$2:$A$6,0))),1,0)</x:f>
        <x:v>1</x:v>
      </x:c>
      <x:c r="E51" s="15" t="n">
        <x:f>INDEX('Respondents'!$B$2:$B$121,MATCH(A51,'Respondents'!$A$2:$A$121,0))</x:f>
        <x:v>1</x:v>
      </x:c>
    </x:row>
    <x:row r="52">
      <x:c r="A52" s="14" t="n">
        <x:v>11</x:v>
      </x:c>
      <x:c r="B52" s="14" t="n">
        <x:v>1</x:v>
      </x:c>
      <x:c r="C52" s="14" t="n">
        <x:v>1</x:v>
      </x:c>
      <x:c r="D52" s="15" t="n">
        <x:f>IF(AND(C52=1,INDEX('Respondents'!$C$2:$C$121,MATCH(A52,'Respondents'!$A$2:$A$121,0))&gt;=INDEX('Strategies'!$C$2:$C$6,MATCH(B52,'Strategies'!$A$2:$A$6,0))),1,0)</x:f>
        <x:v>0</x:v>
      </x:c>
      <x:c r="E52" s="15" t="n">
        <x:f>INDEX('Respondents'!$B$2:$B$121,MATCH(A52,'Respondents'!$A$2:$A$121,0))</x:f>
        <x:v>1</x:v>
      </x:c>
    </x:row>
    <x:row r="53">
      <x:c r="A53" s="14" t="n">
        <x:v>11</x:v>
      </x:c>
      <x:c r="B53" s="14" t="n">
        <x:v>2</x:v>
      </x:c>
      <x:c r="C53" s="14" t="n">
        <x:v>0</x:v>
      </x:c>
      <x:c r="D53" s="15" t="n">
        <x:f>IF(AND(C53=1,INDEX('Respondents'!$C$2:$C$121,MATCH(A53,'Respondents'!$A$2:$A$121,0))&gt;=INDEX('Strategies'!$C$2:$C$6,MATCH(B53,'Strategies'!$A$2:$A$6,0))),1,0)</x:f>
        <x:v>0</x:v>
      </x:c>
      <x:c r="E53" s="15" t="n">
        <x:f>INDEX('Respondents'!$B$2:$B$121,MATCH(A53,'Respondents'!$A$2:$A$121,0))</x:f>
        <x:v>1</x:v>
      </x:c>
    </x:row>
    <x:row r="54">
      <x:c r="A54" s="14" t="n">
        <x:v>11</x:v>
      </x:c>
      <x:c r="B54" s="14" t="n">
        <x:v>3</x:v>
      </x:c>
      <x:c r="C54" s="14" t="n">
        <x:v>1</x:v>
      </x:c>
      <x:c r="D54" s="15" t="n">
        <x:f>IF(AND(C54=1,INDEX('Respondents'!$C$2:$C$121,MATCH(A54,'Respondents'!$A$2:$A$121,0))&gt;=INDEX('Strategies'!$C$2:$C$6,MATCH(B54,'Strategies'!$A$2:$A$6,0))),1,0)</x:f>
        <x:v>1</x:v>
      </x:c>
      <x:c r="E54" s="15" t="n">
        <x:f>INDEX('Respondents'!$B$2:$B$121,MATCH(A54,'Respondents'!$A$2:$A$121,0))</x:f>
        <x:v>1</x:v>
      </x:c>
    </x:row>
    <x:row r="55">
      <x:c r="A55" s="14" t="n">
        <x:v>11</x:v>
      </x:c>
      <x:c r="B55" s="14" t="n">
        <x:v>4</x:v>
      </x:c>
      <x:c r="C55" s="14" t="n">
        <x:v>0</x:v>
      </x:c>
      <x:c r="D55" s="15" t="n">
        <x:f>IF(AND(C55=1,INDEX('Respondents'!$C$2:$C$121,MATCH(A55,'Respondents'!$A$2:$A$121,0))&gt;=INDEX('Strategies'!$C$2:$C$6,MATCH(B55,'Strategies'!$A$2:$A$6,0))),1,0)</x:f>
        <x:v>0</x:v>
      </x:c>
      <x:c r="E55" s="15" t="n">
        <x:f>INDEX('Respondents'!$B$2:$B$121,MATCH(A55,'Respondents'!$A$2:$A$121,0))</x:f>
        <x:v>1</x:v>
      </x:c>
    </x:row>
    <x:row r="56">
      <x:c r="A56" s="14" t="n">
        <x:v>11</x:v>
      </x:c>
      <x:c r="B56" s="14" t="n">
        <x:v>5</x:v>
      </x:c>
      <x:c r="C56" s="14" t="n">
        <x:v>1</x:v>
      </x:c>
      <x:c r="D56" s="15" t="n">
        <x:f>IF(AND(C56=1,INDEX('Respondents'!$C$2:$C$121,MATCH(A56,'Respondents'!$A$2:$A$121,0))&gt;=INDEX('Strategies'!$C$2:$C$6,MATCH(B56,'Strategies'!$A$2:$A$6,0))),1,0)</x:f>
        <x:v>0</x:v>
      </x:c>
      <x:c r="E56" s="15" t="n">
        <x:f>INDEX('Respondents'!$B$2:$B$121,MATCH(A56,'Respondents'!$A$2:$A$121,0))</x:f>
        <x:v>1</x:v>
      </x:c>
    </x:row>
    <x:row r="57">
      <x:c r="A57" s="14" t="n">
        <x:v>12</x:v>
      </x:c>
      <x:c r="B57" s="14" t="n">
        <x:v>1</x:v>
      </x:c>
      <x:c r="C57" s="14" t="n">
        <x:v>1</x:v>
      </x:c>
      <x:c r="D57" s="15" t="n">
        <x:f>IF(AND(C57=1,INDEX('Respondents'!$C$2:$C$121,MATCH(A57,'Respondents'!$A$2:$A$121,0))&gt;=INDEX('Strategies'!$C$2:$C$6,MATCH(B57,'Strategies'!$A$2:$A$6,0))),1,0)</x:f>
        <x:v>0</x:v>
      </x:c>
      <x:c r="E57" s="15" t="n">
        <x:f>INDEX('Respondents'!$B$2:$B$121,MATCH(A57,'Respondents'!$A$2:$A$121,0))</x:f>
        <x:v>1</x:v>
      </x:c>
    </x:row>
    <x:row r="58">
      <x:c r="A58" s="14" t="n">
        <x:v>12</x:v>
      </x:c>
      <x:c r="B58" s="14" t="n">
        <x:v>2</x:v>
      </x:c>
      <x:c r="C58" s="14" t="n">
        <x:v>1</x:v>
      </x:c>
      <x:c r="D58" s="15" t="n">
        <x:f>IF(AND(C58=1,INDEX('Respondents'!$C$2:$C$121,MATCH(A58,'Respondents'!$A$2:$A$121,0))&gt;=INDEX('Strategies'!$C$2:$C$6,MATCH(B58,'Strategies'!$A$2:$A$6,0))),1,0)</x:f>
        <x:v>1</x:v>
      </x:c>
      <x:c r="E58" s="15" t="n">
        <x:f>INDEX('Respondents'!$B$2:$B$121,MATCH(A58,'Respondents'!$A$2:$A$121,0))</x:f>
        <x:v>1</x:v>
      </x:c>
    </x:row>
    <x:row r="59">
      <x:c r="A59" s="14" t="n">
        <x:v>12</x:v>
      </x:c>
      <x:c r="B59" s="14" t="n">
        <x:v>3</x:v>
      </x:c>
      <x:c r="C59" s="14" t="n">
        <x:v>1</x:v>
      </x:c>
      <x:c r="D59" s="15" t="n">
        <x:f>IF(AND(C59=1,INDEX('Respondents'!$C$2:$C$121,MATCH(A59,'Respondents'!$A$2:$A$121,0))&gt;=INDEX('Strategies'!$C$2:$C$6,MATCH(B59,'Strategies'!$A$2:$A$6,0))),1,0)</x:f>
        <x:v>1</x:v>
      </x:c>
      <x:c r="E59" s="15" t="n">
        <x:f>INDEX('Respondents'!$B$2:$B$121,MATCH(A59,'Respondents'!$A$2:$A$121,0))</x:f>
        <x:v>1</x:v>
      </x:c>
    </x:row>
    <x:row r="60">
      <x:c r="A60" s="14" t="n">
        <x:v>12</x:v>
      </x:c>
      <x:c r="B60" s="14" t="n">
        <x:v>4</x:v>
      </x:c>
      <x:c r="C60" s="14" t="n">
        <x:v>1</x:v>
      </x:c>
      <x:c r="D60" s="15" t="n">
        <x:f>IF(AND(C60=1,INDEX('Respondents'!$C$2:$C$121,MATCH(A60,'Respondents'!$A$2:$A$121,0))&gt;=INDEX('Strategies'!$C$2:$C$6,MATCH(B60,'Strategies'!$A$2:$A$6,0))),1,0)</x:f>
        <x:v>1</x:v>
      </x:c>
      <x:c r="E60" s="15" t="n">
        <x:f>INDEX('Respondents'!$B$2:$B$121,MATCH(A60,'Respondents'!$A$2:$A$121,0))</x:f>
        <x:v>1</x:v>
      </x:c>
    </x:row>
    <x:row r="61">
      <x:c r="A61" s="14" t="n">
        <x:v>12</x:v>
      </x:c>
      <x:c r="B61" s="14" t="n">
        <x:v>5</x:v>
      </x:c>
      <x:c r="C61" s="14" t="n">
        <x:v>0</x:v>
      </x:c>
      <x:c r="D61" s="15" t="n">
        <x:f>IF(AND(C61=1,INDEX('Respondents'!$C$2:$C$121,MATCH(A61,'Respondents'!$A$2:$A$121,0))&gt;=INDEX('Strategies'!$C$2:$C$6,MATCH(B61,'Strategies'!$A$2:$A$6,0))),1,0)</x:f>
        <x:v>0</x:v>
      </x:c>
      <x:c r="E61" s="15" t="n">
        <x:f>INDEX('Respondents'!$B$2:$B$121,MATCH(A61,'Respondents'!$A$2:$A$121,0))</x:f>
        <x:v>1</x:v>
      </x:c>
    </x:row>
    <x:row r="62">
      <x:c r="A62" s="14" t="n">
        <x:v>13</x:v>
      </x:c>
      <x:c r="B62" s="14" t="n">
        <x:v>1</x:v>
      </x:c>
      <x:c r="C62" s="14" t="n">
        <x:v>1</x:v>
      </x:c>
      <x:c r="D62" s="15" t="n">
        <x:f>IF(AND(C62=1,INDEX('Respondents'!$C$2:$C$121,MATCH(A62,'Respondents'!$A$2:$A$121,0))&gt;=INDEX('Strategies'!$C$2:$C$6,MATCH(B62,'Strategies'!$A$2:$A$6,0))),1,0)</x:f>
        <x:v>0</x:v>
      </x:c>
      <x:c r="E62" s="15" t="n">
        <x:f>INDEX('Respondents'!$B$2:$B$121,MATCH(A62,'Respondents'!$A$2:$A$121,0))</x:f>
        <x:v>1</x:v>
      </x:c>
    </x:row>
    <x:row r="63">
      <x:c r="A63" s="14" t="n">
        <x:v>13</x:v>
      </x:c>
      <x:c r="B63" s="14" t="n">
        <x:v>2</x:v>
      </x:c>
      <x:c r="C63" s="14" t="n">
        <x:v>0</x:v>
      </x:c>
      <x:c r="D63" s="15" t="n">
        <x:f>IF(AND(C63=1,INDEX('Respondents'!$C$2:$C$121,MATCH(A63,'Respondents'!$A$2:$A$121,0))&gt;=INDEX('Strategies'!$C$2:$C$6,MATCH(B63,'Strategies'!$A$2:$A$6,0))),1,0)</x:f>
        <x:v>0</x:v>
      </x:c>
      <x:c r="E63" s="15" t="n">
        <x:f>INDEX('Respondents'!$B$2:$B$121,MATCH(A63,'Respondents'!$A$2:$A$121,0))</x:f>
        <x:v>1</x:v>
      </x:c>
    </x:row>
    <x:row r="64">
      <x:c r="A64" s="14" t="n">
        <x:v>13</x:v>
      </x:c>
      <x:c r="B64" s="14" t="n">
        <x:v>3</x:v>
      </x:c>
      <x:c r="C64" s="14" t="n">
        <x:v>0</x:v>
      </x:c>
      <x:c r="D64" s="15" t="n">
        <x:f>IF(AND(C64=1,INDEX('Respondents'!$C$2:$C$121,MATCH(A64,'Respondents'!$A$2:$A$121,0))&gt;=INDEX('Strategies'!$C$2:$C$6,MATCH(B64,'Strategies'!$A$2:$A$6,0))),1,0)</x:f>
        <x:v>0</x:v>
      </x:c>
      <x:c r="E64" s="15" t="n">
        <x:f>INDEX('Respondents'!$B$2:$B$121,MATCH(A64,'Respondents'!$A$2:$A$121,0))</x:f>
        <x:v>1</x:v>
      </x:c>
    </x:row>
    <x:row r="65">
      <x:c r="A65" s="14" t="n">
        <x:v>13</x:v>
      </x:c>
      <x:c r="B65" s="14" t="n">
        <x:v>4</x:v>
      </x:c>
      <x:c r="C65" s="14" t="n">
        <x:v>1</x:v>
      </x:c>
      <x:c r="D65" s="15" t="n">
        <x:f>IF(AND(C65=1,INDEX('Respondents'!$C$2:$C$121,MATCH(A65,'Respondents'!$A$2:$A$121,0))&gt;=INDEX('Strategies'!$C$2:$C$6,MATCH(B65,'Strategies'!$A$2:$A$6,0))),1,0)</x:f>
        <x:v>1</x:v>
      </x:c>
      <x:c r="E65" s="15" t="n">
        <x:f>INDEX('Respondents'!$B$2:$B$121,MATCH(A65,'Respondents'!$A$2:$A$121,0))</x:f>
        <x:v>1</x:v>
      </x:c>
    </x:row>
    <x:row r="66">
      <x:c r="A66" s="14" t="n">
        <x:v>13</x:v>
      </x:c>
      <x:c r="B66" s="14" t="n">
        <x:v>5</x:v>
      </x:c>
      <x:c r="C66" s="14" t="n">
        <x:v>1</x:v>
      </x:c>
      <x:c r="D66" s="15" t="n">
        <x:f>IF(AND(C66=1,INDEX('Respondents'!$C$2:$C$121,MATCH(A66,'Respondents'!$A$2:$A$121,0))&gt;=INDEX('Strategies'!$C$2:$C$6,MATCH(B66,'Strategies'!$A$2:$A$6,0))),1,0)</x:f>
        <x:v>0</x:v>
      </x:c>
      <x:c r="E66" s="15" t="n">
        <x:f>INDEX('Respondents'!$B$2:$B$121,MATCH(A66,'Respondents'!$A$2:$A$121,0))</x:f>
        <x:v>1</x:v>
      </x:c>
    </x:row>
    <x:row r="67">
      <x:c r="A67" s="14" t="n">
        <x:v>14</x:v>
      </x:c>
      <x:c r="B67" s="14" t="n">
        <x:v>1</x:v>
      </x:c>
      <x:c r="C67" s="14" t="n">
        <x:v>1</x:v>
      </x:c>
      <x:c r="D67" s="15" t="n">
        <x:f>IF(AND(C67=1,INDEX('Respondents'!$C$2:$C$121,MATCH(A67,'Respondents'!$A$2:$A$121,0))&gt;=INDEX('Strategies'!$C$2:$C$6,MATCH(B67,'Strategies'!$A$2:$A$6,0))),1,0)</x:f>
        <x:v>0</x:v>
      </x:c>
      <x:c r="E67" s="15" t="n">
        <x:f>INDEX('Respondents'!$B$2:$B$121,MATCH(A67,'Respondents'!$A$2:$A$121,0))</x:f>
        <x:v>1</x:v>
      </x:c>
    </x:row>
    <x:row r="68">
      <x:c r="A68" s="14" t="n">
        <x:v>14</x:v>
      </x:c>
      <x:c r="B68" s="14" t="n">
        <x:v>2</x:v>
      </x:c>
      <x:c r="C68" s="14" t="n">
        <x:v>1</x:v>
      </x:c>
      <x:c r="D68" s="15" t="n">
        <x:f>IF(AND(C68=1,INDEX('Respondents'!$C$2:$C$121,MATCH(A68,'Respondents'!$A$2:$A$121,0))&gt;=INDEX('Strategies'!$C$2:$C$6,MATCH(B68,'Strategies'!$A$2:$A$6,0))),1,0)</x:f>
        <x:v>1</x:v>
      </x:c>
      <x:c r="E68" s="15" t="n">
        <x:f>INDEX('Respondents'!$B$2:$B$121,MATCH(A68,'Respondents'!$A$2:$A$121,0))</x:f>
        <x:v>1</x:v>
      </x:c>
    </x:row>
    <x:row r="69">
      <x:c r="A69" s="14" t="n">
        <x:v>14</x:v>
      </x:c>
      <x:c r="B69" s="14" t="n">
        <x:v>3</x:v>
      </x:c>
      <x:c r="C69" s="14" t="n">
        <x:v>1</x:v>
      </x:c>
      <x:c r="D69" s="15" t="n">
        <x:f>IF(AND(C69=1,INDEX('Respondents'!$C$2:$C$121,MATCH(A69,'Respondents'!$A$2:$A$121,0))&gt;=INDEX('Strategies'!$C$2:$C$6,MATCH(B69,'Strategies'!$A$2:$A$6,0))),1,0)</x:f>
        <x:v>1</x:v>
      </x:c>
      <x:c r="E69" s="15" t="n">
        <x:f>INDEX('Respondents'!$B$2:$B$121,MATCH(A69,'Respondents'!$A$2:$A$121,0))</x:f>
        <x:v>1</x:v>
      </x:c>
    </x:row>
    <x:row r="70">
      <x:c r="A70" s="14" t="n">
        <x:v>14</x:v>
      </x:c>
      <x:c r="B70" s="14" t="n">
        <x:v>4</x:v>
      </x:c>
      <x:c r="C70" s="14" t="n">
        <x:v>1</x:v>
      </x:c>
      <x:c r="D70" s="15" t="n">
        <x:f>IF(AND(C70=1,INDEX('Respondents'!$C$2:$C$121,MATCH(A70,'Respondents'!$A$2:$A$121,0))&gt;=INDEX('Strategies'!$C$2:$C$6,MATCH(B70,'Strategies'!$A$2:$A$6,0))),1,0)</x:f>
        <x:v>1</x:v>
      </x:c>
      <x:c r="E70" s="15" t="n">
        <x:f>INDEX('Respondents'!$B$2:$B$121,MATCH(A70,'Respondents'!$A$2:$A$121,0))</x:f>
        <x:v>1</x:v>
      </x:c>
    </x:row>
    <x:row r="71">
      <x:c r="A71" s="14" t="n">
        <x:v>14</x:v>
      </x:c>
      <x:c r="B71" s="14" t="n">
        <x:v>5</x:v>
      </x:c>
      <x:c r="C71" s="14" t="n">
        <x:v>1</x:v>
      </x:c>
      <x:c r="D71" s="15" t="n">
        <x:f>IF(AND(C71=1,INDEX('Respondents'!$C$2:$C$121,MATCH(A71,'Respondents'!$A$2:$A$121,0))&gt;=INDEX('Strategies'!$C$2:$C$6,MATCH(B71,'Strategies'!$A$2:$A$6,0))),1,0)</x:f>
        <x:v>1</x:v>
      </x:c>
      <x:c r="E71" s="15" t="n">
        <x:f>INDEX('Respondents'!$B$2:$B$121,MATCH(A71,'Respondents'!$A$2:$A$121,0))</x:f>
        <x:v>1</x:v>
      </x:c>
    </x:row>
    <x:row r="72">
      <x:c r="A72" s="14" t="n">
        <x:v>15</x:v>
      </x:c>
      <x:c r="B72" s="14" t="n">
        <x:v>1</x:v>
      </x:c>
      <x:c r="C72" s="14" t="n">
        <x:v>1</x:v>
      </x:c>
      <x:c r="D72" s="15" t="n">
        <x:f>IF(AND(C72=1,INDEX('Respondents'!$C$2:$C$121,MATCH(A72,'Respondents'!$A$2:$A$121,0))&gt;=INDEX('Strategies'!$C$2:$C$6,MATCH(B72,'Strategies'!$A$2:$A$6,0))),1,0)</x:f>
        <x:v>1</x:v>
      </x:c>
      <x:c r="E72" s="15" t="n">
        <x:f>INDEX('Respondents'!$B$2:$B$121,MATCH(A72,'Respondents'!$A$2:$A$121,0))</x:f>
        <x:v>1</x:v>
      </x:c>
    </x:row>
    <x:row r="73">
      <x:c r="A73" s="14" t="n">
        <x:v>15</x:v>
      </x:c>
      <x:c r="B73" s="14" t="n">
        <x:v>2</x:v>
      </x:c>
      <x:c r="C73" s="14" t="n">
        <x:v>1</x:v>
      </x:c>
      <x:c r="D73" s="15" t="n">
        <x:f>IF(AND(C73=1,INDEX('Respondents'!$C$2:$C$121,MATCH(A73,'Respondents'!$A$2:$A$121,0))&gt;=INDEX('Strategies'!$C$2:$C$6,MATCH(B73,'Strategies'!$A$2:$A$6,0))),1,0)</x:f>
        <x:v>1</x:v>
      </x:c>
      <x:c r="E73" s="15" t="n">
        <x:f>INDEX('Respondents'!$B$2:$B$121,MATCH(A73,'Respondents'!$A$2:$A$121,0))</x:f>
        <x:v>1</x:v>
      </x:c>
    </x:row>
    <x:row r="74">
      <x:c r="A74" s="14" t="n">
        <x:v>15</x:v>
      </x:c>
      <x:c r="B74" s="14" t="n">
        <x:v>3</x:v>
      </x:c>
      <x:c r="C74" s="14" t="n">
        <x:v>1</x:v>
      </x:c>
      <x:c r="D74" s="15" t="n">
        <x:f>IF(AND(C74=1,INDEX('Respondents'!$C$2:$C$121,MATCH(A74,'Respondents'!$A$2:$A$121,0))&gt;=INDEX('Strategies'!$C$2:$C$6,MATCH(B74,'Strategies'!$A$2:$A$6,0))),1,0)</x:f>
        <x:v>1</x:v>
      </x:c>
      <x:c r="E74" s="15" t="n">
        <x:f>INDEX('Respondents'!$B$2:$B$121,MATCH(A74,'Respondents'!$A$2:$A$121,0))</x:f>
        <x:v>1</x:v>
      </x:c>
    </x:row>
    <x:row r="75">
      <x:c r="A75" s="14" t="n">
        <x:v>15</x:v>
      </x:c>
      <x:c r="B75" s="14" t="n">
        <x:v>4</x:v>
      </x:c>
      <x:c r="C75" s="14" t="n">
        <x:v>1</x:v>
      </x:c>
      <x:c r="D75" s="15" t="n">
        <x:f>IF(AND(C75=1,INDEX('Respondents'!$C$2:$C$121,MATCH(A75,'Respondents'!$A$2:$A$121,0))&gt;=INDEX('Strategies'!$C$2:$C$6,MATCH(B75,'Strategies'!$A$2:$A$6,0))),1,0)</x:f>
        <x:v>1</x:v>
      </x:c>
      <x:c r="E75" s="15" t="n">
        <x:f>INDEX('Respondents'!$B$2:$B$121,MATCH(A75,'Respondents'!$A$2:$A$121,0))</x:f>
        <x:v>1</x:v>
      </x:c>
    </x:row>
    <x:row r="76">
      <x:c r="A76" s="14" t="n">
        <x:v>15</x:v>
      </x:c>
      <x:c r="B76" s="14" t="n">
        <x:v>5</x:v>
      </x:c>
      <x:c r="C76" s="14" t="n">
        <x:v>1</x:v>
      </x:c>
      <x:c r="D76" s="15" t="n">
        <x:f>IF(AND(C76=1,INDEX('Respondents'!$C$2:$C$121,MATCH(A76,'Respondents'!$A$2:$A$121,0))&gt;=INDEX('Strategies'!$C$2:$C$6,MATCH(B76,'Strategies'!$A$2:$A$6,0))),1,0)</x:f>
        <x:v>1</x:v>
      </x:c>
      <x:c r="E76" s="15" t="n">
        <x:f>INDEX('Respondents'!$B$2:$B$121,MATCH(A76,'Respondents'!$A$2:$A$121,0))</x:f>
        <x:v>1</x:v>
      </x:c>
    </x:row>
    <x:row r="77">
      <x:c r="A77" s="14" t="n">
        <x:v>16</x:v>
      </x:c>
      <x:c r="B77" s="14" t="n">
        <x:v>1</x:v>
      </x:c>
      <x:c r="C77" s="14" t="n">
        <x:v>1</x:v>
      </x:c>
      <x:c r="D77" s="15" t="n">
        <x:f>IF(AND(C77=1,INDEX('Respondents'!$C$2:$C$121,MATCH(A77,'Respondents'!$A$2:$A$121,0))&gt;=INDEX('Strategies'!$C$2:$C$6,MATCH(B77,'Strategies'!$A$2:$A$6,0))),1,0)</x:f>
        <x:v>0</x:v>
      </x:c>
      <x:c r="E77" s="15" t="n">
        <x:f>INDEX('Respondents'!$B$2:$B$121,MATCH(A77,'Respondents'!$A$2:$A$121,0))</x:f>
        <x:v>1</x:v>
      </x:c>
    </x:row>
    <x:row r="78">
      <x:c r="A78" s="14" t="n">
        <x:v>16</x:v>
      </x:c>
      <x:c r="B78" s="14" t="n">
        <x:v>2</x:v>
      </x:c>
      <x:c r="C78" s="14" t="n">
        <x:v>1</x:v>
      </x:c>
      <x:c r="D78" s="15" t="n">
        <x:f>IF(AND(C78=1,INDEX('Respondents'!$C$2:$C$121,MATCH(A78,'Respondents'!$A$2:$A$121,0))&gt;=INDEX('Strategies'!$C$2:$C$6,MATCH(B78,'Strategies'!$A$2:$A$6,0))),1,0)</x:f>
        <x:v>1</x:v>
      </x:c>
      <x:c r="E78" s="15" t="n">
        <x:f>INDEX('Respondents'!$B$2:$B$121,MATCH(A78,'Respondents'!$A$2:$A$121,0))</x:f>
        <x:v>1</x:v>
      </x:c>
    </x:row>
    <x:row r="79">
      <x:c r="A79" s="14" t="n">
        <x:v>16</x:v>
      </x:c>
      <x:c r="B79" s="14" t="n">
        <x:v>3</x:v>
      </x:c>
      <x:c r="C79" s="14" t="n">
        <x:v>0</x:v>
      </x:c>
      <x:c r="D79" s="15" t="n">
        <x:f>IF(AND(C79=1,INDEX('Respondents'!$C$2:$C$121,MATCH(A79,'Respondents'!$A$2:$A$121,0))&gt;=INDEX('Strategies'!$C$2:$C$6,MATCH(B79,'Strategies'!$A$2:$A$6,0))),1,0)</x:f>
        <x:v>0</x:v>
      </x:c>
      <x:c r="E79" s="15" t="n">
        <x:f>INDEX('Respondents'!$B$2:$B$121,MATCH(A79,'Respondents'!$A$2:$A$121,0))</x:f>
        <x:v>1</x:v>
      </x:c>
    </x:row>
    <x:row r="80">
      <x:c r="A80" s="14" t="n">
        <x:v>16</x:v>
      </x:c>
      <x:c r="B80" s="14" t="n">
        <x:v>4</x:v>
      </x:c>
      <x:c r="C80" s="14" t="n">
        <x:v>0</x:v>
      </x:c>
      <x:c r="D80" s="15" t="n">
        <x:f>IF(AND(C80=1,INDEX('Respondents'!$C$2:$C$121,MATCH(A80,'Respondents'!$A$2:$A$121,0))&gt;=INDEX('Strategies'!$C$2:$C$6,MATCH(B80,'Strategies'!$A$2:$A$6,0))),1,0)</x:f>
        <x:v>0</x:v>
      </x:c>
      <x:c r="E80" s="15" t="n">
        <x:f>INDEX('Respondents'!$B$2:$B$121,MATCH(A80,'Respondents'!$A$2:$A$121,0))</x:f>
        <x:v>1</x:v>
      </x:c>
    </x:row>
    <x:row r="81">
      <x:c r="A81" s="14" t="n">
        <x:v>16</x:v>
      </x:c>
      <x:c r="B81" s="14" t="n">
        <x:v>5</x:v>
      </x:c>
      <x:c r="C81" s="14" t="n">
        <x:v>0</x:v>
      </x:c>
      <x:c r="D81" s="15" t="n">
        <x:f>IF(AND(C81=1,INDEX('Respondents'!$C$2:$C$121,MATCH(A81,'Respondents'!$A$2:$A$121,0))&gt;=INDEX('Strategies'!$C$2:$C$6,MATCH(B81,'Strategies'!$A$2:$A$6,0))),1,0)</x:f>
        <x:v>0</x:v>
      </x:c>
      <x:c r="E81" s="15" t="n">
        <x:f>INDEX('Respondents'!$B$2:$B$121,MATCH(A81,'Respondents'!$A$2:$A$121,0))</x:f>
        <x:v>1</x:v>
      </x:c>
    </x:row>
    <x:row r="82">
      <x:c r="A82" s="14" t="n">
        <x:v>17</x:v>
      </x:c>
      <x:c r="B82" s="14" t="n">
        <x:v>1</x:v>
      </x:c>
      <x:c r="C82" s="14" t="n">
        <x:v>0</x:v>
      </x:c>
      <x:c r="D82" s="15" t="n">
        <x:f>IF(AND(C82=1,INDEX('Respondents'!$C$2:$C$121,MATCH(A82,'Respondents'!$A$2:$A$121,0))&gt;=INDEX('Strategies'!$C$2:$C$6,MATCH(B82,'Strategies'!$A$2:$A$6,0))),1,0)</x:f>
        <x:v>0</x:v>
      </x:c>
      <x:c r="E82" s="15" t="n">
        <x:f>INDEX('Respondents'!$B$2:$B$121,MATCH(A82,'Respondents'!$A$2:$A$121,0))</x:f>
        <x:v>1</x:v>
      </x:c>
    </x:row>
    <x:row r="83">
      <x:c r="A83" s="14" t="n">
        <x:v>17</x:v>
      </x:c>
      <x:c r="B83" s="14" t="n">
        <x:v>2</x:v>
      </x:c>
      <x:c r="C83" s="14" t="n">
        <x:v>1</x:v>
      </x:c>
      <x:c r="D83" s="15" t="n">
        <x:f>IF(AND(C83=1,INDEX('Respondents'!$C$2:$C$121,MATCH(A83,'Respondents'!$A$2:$A$121,0))&gt;=INDEX('Strategies'!$C$2:$C$6,MATCH(B83,'Strategies'!$A$2:$A$6,0))),1,0)</x:f>
        <x:v>1</x:v>
      </x:c>
      <x:c r="E83" s="15" t="n">
        <x:f>INDEX('Respondents'!$B$2:$B$121,MATCH(A83,'Respondents'!$A$2:$A$121,0))</x:f>
        <x:v>1</x:v>
      </x:c>
    </x:row>
    <x:row r="84">
      <x:c r="A84" s="14" t="n">
        <x:v>17</x:v>
      </x:c>
      <x:c r="B84" s="14" t="n">
        <x:v>3</x:v>
      </x:c>
      <x:c r="C84" s="14" t="n">
        <x:v>1</x:v>
      </x:c>
      <x:c r="D84" s="15" t="n">
        <x:f>IF(AND(C84=1,INDEX('Respondents'!$C$2:$C$121,MATCH(A84,'Respondents'!$A$2:$A$121,0))&gt;=INDEX('Strategies'!$C$2:$C$6,MATCH(B84,'Strategies'!$A$2:$A$6,0))),1,0)</x:f>
        <x:v>1</x:v>
      </x:c>
      <x:c r="E84" s="15" t="n">
        <x:f>INDEX('Respondents'!$B$2:$B$121,MATCH(A84,'Respondents'!$A$2:$A$121,0))</x:f>
        <x:v>1</x:v>
      </x:c>
    </x:row>
    <x:row r="85">
      <x:c r="A85" s="14" t="n">
        <x:v>17</x:v>
      </x:c>
      <x:c r="B85" s="14" t="n">
        <x:v>4</x:v>
      </x:c>
      <x:c r="C85" s="14" t="n">
        <x:v>1</x:v>
      </x:c>
      <x:c r="D85" s="15" t="n">
        <x:f>IF(AND(C85=1,INDEX('Respondents'!$C$2:$C$121,MATCH(A85,'Respondents'!$A$2:$A$121,0))&gt;=INDEX('Strategies'!$C$2:$C$6,MATCH(B85,'Strategies'!$A$2:$A$6,0))),1,0)</x:f>
        <x:v>1</x:v>
      </x:c>
      <x:c r="E85" s="15" t="n">
        <x:f>INDEX('Respondents'!$B$2:$B$121,MATCH(A85,'Respondents'!$A$2:$A$121,0))</x:f>
        <x:v>1</x:v>
      </x:c>
    </x:row>
    <x:row r="86">
      <x:c r="A86" s="14" t="n">
        <x:v>17</x:v>
      </x:c>
      <x:c r="B86" s="14" t="n">
        <x:v>5</x:v>
      </x:c>
      <x:c r="C86" s="14" t="n">
        <x:v>1</x:v>
      </x:c>
      <x:c r="D86" s="15" t="n">
        <x:f>IF(AND(C86=1,INDEX('Respondents'!$C$2:$C$121,MATCH(A86,'Respondents'!$A$2:$A$121,0))&gt;=INDEX('Strategies'!$C$2:$C$6,MATCH(B86,'Strategies'!$A$2:$A$6,0))),1,0)</x:f>
        <x:v>0</x:v>
      </x:c>
      <x:c r="E86" s="15" t="n">
        <x:f>INDEX('Respondents'!$B$2:$B$121,MATCH(A86,'Respondents'!$A$2:$A$121,0))</x:f>
        <x:v>1</x:v>
      </x:c>
    </x:row>
    <x:row r="87">
      <x:c r="A87" s="14" t="n">
        <x:v>18</x:v>
      </x:c>
      <x:c r="B87" s="14" t="n">
        <x:v>1</x:v>
      </x:c>
      <x:c r="C87" s="14" t="n">
        <x:v>1</x:v>
      </x:c>
      <x:c r="D87" s="15" t="n">
        <x:f>IF(AND(C87=1,INDEX('Respondents'!$C$2:$C$121,MATCH(A87,'Respondents'!$A$2:$A$121,0))&gt;=INDEX('Strategies'!$C$2:$C$6,MATCH(B87,'Strategies'!$A$2:$A$6,0))),1,0)</x:f>
        <x:v>0</x:v>
      </x:c>
      <x:c r="E87" s="15" t="n">
        <x:f>INDEX('Respondents'!$B$2:$B$121,MATCH(A87,'Respondents'!$A$2:$A$121,0))</x:f>
        <x:v>1</x:v>
      </x:c>
    </x:row>
    <x:row r="88">
      <x:c r="A88" s="14" t="n">
        <x:v>18</x:v>
      </x:c>
      <x:c r="B88" s="14" t="n">
        <x:v>2</x:v>
      </x:c>
      <x:c r="C88" s="14" t="n">
        <x:v>1</x:v>
      </x:c>
      <x:c r="D88" s="15" t="n">
        <x:f>IF(AND(C88=1,INDEX('Respondents'!$C$2:$C$121,MATCH(A88,'Respondents'!$A$2:$A$121,0))&gt;=INDEX('Strategies'!$C$2:$C$6,MATCH(B88,'Strategies'!$A$2:$A$6,0))),1,0)</x:f>
        <x:v>1</x:v>
      </x:c>
      <x:c r="E88" s="15" t="n">
        <x:f>INDEX('Respondents'!$B$2:$B$121,MATCH(A88,'Respondents'!$A$2:$A$121,0))</x:f>
        <x:v>1</x:v>
      </x:c>
    </x:row>
    <x:row r="89">
      <x:c r="A89" s="14" t="n">
        <x:v>18</x:v>
      </x:c>
      <x:c r="B89" s="14" t="n">
        <x:v>3</x:v>
      </x:c>
      <x:c r="C89" s="14" t="n">
        <x:v>0</x:v>
      </x:c>
      <x:c r="D89" s="15" t="n">
        <x:f>IF(AND(C89=1,INDEX('Respondents'!$C$2:$C$121,MATCH(A89,'Respondents'!$A$2:$A$121,0))&gt;=INDEX('Strategies'!$C$2:$C$6,MATCH(B89,'Strategies'!$A$2:$A$6,0))),1,0)</x:f>
        <x:v>0</x:v>
      </x:c>
      <x:c r="E89" s="15" t="n">
        <x:f>INDEX('Respondents'!$B$2:$B$121,MATCH(A89,'Respondents'!$A$2:$A$121,0))</x:f>
        <x:v>1</x:v>
      </x:c>
    </x:row>
    <x:row r="90">
      <x:c r="A90" s="14" t="n">
        <x:v>18</x:v>
      </x:c>
      <x:c r="B90" s="14" t="n">
        <x:v>4</x:v>
      </x:c>
      <x:c r="C90" s="14" t="n">
        <x:v>0</x:v>
      </x:c>
      <x:c r="D90" s="15" t="n">
        <x:f>IF(AND(C90=1,INDEX('Respondents'!$C$2:$C$121,MATCH(A90,'Respondents'!$A$2:$A$121,0))&gt;=INDEX('Strategies'!$C$2:$C$6,MATCH(B90,'Strategies'!$A$2:$A$6,0))),1,0)</x:f>
        <x:v>0</x:v>
      </x:c>
      <x:c r="E90" s="15" t="n">
        <x:f>INDEX('Respondents'!$B$2:$B$121,MATCH(A90,'Respondents'!$A$2:$A$121,0))</x:f>
        <x:v>1</x:v>
      </x:c>
    </x:row>
    <x:row r="91">
      <x:c r="A91" s="14" t="n">
        <x:v>18</x:v>
      </x:c>
      <x:c r="B91" s="14" t="n">
        <x:v>5</x:v>
      </x:c>
      <x:c r="C91" s="14" t="n">
        <x:v>1</x:v>
      </x:c>
      <x:c r="D91" s="15" t="n">
        <x:f>IF(AND(C91=1,INDEX('Respondents'!$C$2:$C$121,MATCH(A91,'Respondents'!$A$2:$A$121,0))&gt;=INDEX('Strategies'!$C$2:$C$6,MATCH(B91,'Strategies'!$A$2:$A$6,0))),1,0)</x:f>
        <x:v>0</x:v>
      </x:c>
      <x:c r="E91" s="15" t="n">
        <x:f>INDEX('Respondents'!$B$2:$B$121,MATCH(A91,'Respondents'!$A$2:$A$121,0))</x:f>
        <x:v>1</x:v>
      </x:c>
    </x:row>
    <x:row r="92">
      <x:c r="A92" s="14" t="n">
        <x:v>19</x:v>
      </x:c>
      <x:c r="B92" s="14" t="n">
        <x:v>1</x:v>
      </x:c>
      <x:c r="C92" s="14" t="n">
        <x:v>1</x:v>
      </x:c>
      <x:c r="D92" s="15" t="n">
        <x:f>IF(AND(C92=1,INDEX('Respondents'!$C$2:$C$121,MATCH(A92,'Respondents'!$A$2:$A$121,0))&gt;=INDEX('Strategies'!$C$2:$C$6,MATCH(B92,'Strategies'!$A$2:$A$6,0))),1,0)</x:f>
        <x:v>0</x:v>
      </x:c>
      <x:c r="E92" s="15" t="n">
        <x:f>INDEX('Respondents'!$B$2:$B$121,MATCH(A92,'Respondents'!$A$2:$A$121,0))</x:f>
        <x:v>1</x:v>
      </x:c>
    </x:row>
    <x:row r="93">
      <x:c r="A93" s="14" t="n">
        <x:v>19</x:v>
      </x:c>
      <x:c r="B93" s="14" t="n">
        <x:v>2</x:v>
      </x:c>
      <x:c r="C93" s="14" t="n">
        <x:v>1</x:v>
      </x:c>
      <x:c r="D93" s="15" t="n">
        <x:f>IF(AND(C93=1,INDEX('Respondents'!$C$2:$C$121,MATCH(A93,'Respondents'!$A$2:$A$121,0))&gt;=INDEX('Strategies'!$C$2:$C$6,MATCH(B93,'Strategies'!$A$2:$A$6,0))),1,0)</x:f>
        <x:v>1</x:v>
      </x:c>
      <x:c r="E93" s="15" t="n">
        <x:f>INDEX('Respondents'!$B$2:$B$121,MATCH(A93,'Respondents'!$A$2:$A$121,0))</x:f>
        <x:v>1</x:v>
      </x:c>
    </x:row>
    <x:row r="94">
      <x:c r="A94" s="14" t="n">
        <x:v>19</x:v>
      </x:c>
      <x:c r="B94" s="14" t="n">
        <x:v>3</x:v>
      </x:c>
      <x:c r="C94" s="14" t="n">
        <x:v>1</x:v>
      </x:c>
      <x:c r="D94" s="15" t="n">
        <x:f>IF(AND(C94=1,INDEX('Respondents'!$C$2:$C$121,MATCH(A94,'Respondents'!$A$2:$A$121,0))&gt;=INDEX('Strategies'!$C$2:$C$6,MATCH(B94,'Strategies'!$A$2:$A$6,0))),1,0)</x:f>
        <x:v>1</x:v>
      </x:c>
      <x:c r="E94" s="15" t="n">
        <x:f>INDEX('Respondents'!$B$2:$B$121,MATCH(A94,'Respondents'!$A$2:$A$121,0))</x:f>
        <x:v>1</x:v>
      </x:c>
    </x:row>
    <x:row r="95">
      <x:c r="A95" s="14" t="n">
        <x:v>19</x:v>
      </x:c>
      <x:c r="B95" s="14" t="n">
        <x:v>4</x:v>
      </x:c>
      <x:c r="C95" s="14" t="n">
        <x:v>1</x:v>
      </x:c>
      <x:c r="D95" s="15" t="n">
        <x:f>IF(AND(C95=1,INDEX('Respondents'!$C$2:$C$121,MATCH(A95,'Respondents'!$A$2:$A$121,0))&gt;=INDEX('Strategies'!$C$2:$C$6,MATCH(B95,'Strategies'!$A$2:$A$6,0))),1,0)</x:f>
        <x:v>1</x:v>
      </x:c>
      <x:c r="E95" s="15" t="n">
        <x:f>INDEX('Respondents'!$B$2:$B$121,MATCH(A95,'Respondents'!$A$2:$A$121,0))</x:f>
        <x:v>1</x:v>
      </x:c>
    </x:row>
    <x:row r="96">
      <x:c r="A96" s="14" t="n">
        <x:v>19</x:v>
      </x:c>
      <x:c r="B96" s="14" t="n">
        <x:v>5</x:v>
      </x:c>
      <x:c r="C96" s="14" t="n">
        <x:v>1</x:v>
      </x:c>
      <x:c r="D96" s="15" t="n">
        <x:f>IF(AND(C96=1,INDEX('Respondents'!$C$2:$C$121,MATCH(A96,'Respondents'!$A$2:$A$121,0))&gt;=INDEX('Strategies'!$C$2:$C$6,MATCH(B96,'Strategies'!$A$2:$A$6,0))),1,0)</x:f>
        <x:v>1</x:v>
      </x:c>
      <x:c r="E96" s="15" t="n">
        <x:f>INDEX('Respondents'!$B$2:$B$121,MATCH(A96,'Respondents'!$A$2:$A$121,0))</x:f>
        <x:v>1</x:v>
      </x:c>
    </x:row>
    <x:row r="97">
      <x:c r="A97" s="14" t="n">
        <x:v>20</x:v>
      </x:c>
      <x:c r="B97" s="14" t="n">
        <x:v>1</x:v>
      </x:c>
      <x:c r="C97" s="14" t="n">
        <x:v>1</x:v>
      </x:c>
      <x:c r="D97" s="15" t="n">
        <x:f>IF(AND(C97=1,INDEX('Respondents'!$C$2:$C$121,MATCH(A97,'Respondents'!$A$2:$A$121,0))&gt;=INDEX('Strategies'!$C$2:$C$6,MATCH(B97,'Strategies'!$A$2:$A$6,0))),1,0)</x:f>
        <x:v>0</x:v>
      </x:c>
      <x:c r="E97" s="15" t="n">
        <x:f>INDEX('Respondents'!$B$2:$B$121,MATCH(A97,'Respondents'!$A$2:$A$121,0))</x:f>
        <x:v>1</x:v>
      </x:c>
    </x:row>
    <x:row r="98">
      <x:c r="A98" s="14" t="n">
        <x:v>20</x:v>
      </x:c>
      <x:c r="B98" s="14" t="n">
        <x:v>2</x:v>
      </x:c>
      <x:c r="C98" s="14" t="n">
        <x:v>1</x:v>
      </x:c>
      <x:c r="D98" s="15" t="n">
        <x:f>IF(AND(C98=1,INDEX('Respondents'!$C$2:$C$121,MATCH(A98,'Respondents'!$A$2:$A$121,0))&gt;=INDEX('Strategies'!$C$2:$C$6,MATCH(B98,'Strategies'!$A$2:$A$6,0))),1,0)</x:f>
        <x:v>0</x:v>
      </x:c>
      <x:c r="E98" s="15" t="n">
        <x:f>INDEX('Respondents'!$B$2:$B$121,MATCH(A98,'Respondents'!$A$2:$A$121,0))</x:f>
        <x:v>1</x:v>
      </x:c>
    </x:row>
    <x:row r="99">
      <x:c r="A99" s="14" t="n">
        <x:v>20</x:v>
      </x:c>
      <x:c r="B99" s="14" t="n">
        <x:v>3</x:v>
      </x:c>
      <x:c r="C99" s="14" t="n">
        <x:v>1</x:v>
      </x:c>
      <x:c r="D99" s="15" t="n">
        <x:f>IF(AND(C99=1,INDEX('Respondents'!$C$2:$C$121,MATCH(A99,'Respondents'!$A$2:$A$121,0))&gt;=INDEX('Strategies'!$C$2:$C$6,MATCH(B99,'Strategies'!$A$2:$A$6,0))),1,0)</x:f>
        <x:v>0</x:v>
      </x:c>
      <x:c r="E99" s="15" t="n">
        <x:f>INDEX('Respondents'!$B$2:$B$121,MATCH(A99,'Respondents'!$A$2:$A$121,0))</x:f>
        <x:v>1</x:v>
      </x:c>
    </x:row>
    <x:row r="100">
      <x:c r="A100" s="14" t="n">
        <x:v>20</x:v>
      </x:c>
      <x:c r="B100" s="14" t="n">
        <x:v>4</x:v>
      </x:c>
      <x:c r="C100" s="14" t="n">
        <x:v>1</x:v>
      </x:c>
      <x:c r="D100" s="15" t="n">
        <x:f>IF(AND(C100=1,INDEX('Respondents'!$C$2:$C$121,MATCH(A100,'Respondents'!$A$2:$A$121,0))&gt;=INDEX('Strategies'!$C$2:$C$6,MATCH(B100,'Strategies'!$A$2:$A$6,0))),1,0)</x:f>
        <x:v>0</x:v>
      </x:c>
      <x:c r="E100" s="15" t="n">
        <x:f>INDEX('Respondents'!$B$2:$B$121,MATCH(A100,'Respondents'!$A$2:$A$121,0))</x:f>
        <x:v>1</x:v>
      </x:c>
    </x:row>
    <x:row r="101">
      <x:c r="A101" s="14" t="n">
        <x:v>20</x:v>
      </x:c>
      <x:c r="B101" s="14" t="n">
        <x:v>5</x:v>
      </x:c>
      <x:c r="C101" s="14" t="n">
        <x:v>0</x:v>
      </x:c>
      <x:c r="D101" s="15" t="n">
        <x:f>IF(AND(C101=1,INDEX('Respondents'!$C$2:$C$121,MATCH(A101,'Respondents'!$A$2:$A$121,0))&gt;=INDEX('Strategies'!$C$2:$C$6,MATCH(B101,'Strategies'!$A$2:$A$6,0))),1,0)</x:f>
        <x:v>0</x:v>
      </x:c>
      <x:c r="E101" s="15" t="n">
        <x:f>INDEX('Respondents'!$B$2:$B$121,MATCH(A101,'Respondents'!$A$2:$A$121,0))</x:f>
        <x:v>1</x:v>
      </x:c>
    </x:row>
    <x:row r="102">
      <x:c r="A102" s="14" t="n">
        <x:v>21</x:v>
      </x:c>
      <x:c r="B102" s="14" t="n">
        <x:v>1</x:v>
      </x:c>
      <x:c r="C102" s="14" t="n">
        <x:v>0</x:v>
      </x:c>
      <x:c r="D102" s="15" t="n">
        <x:f>IF(AND(C102=1,INDEX('Respondents'!$C$2:$C$121,MATCH(A102,'Respondents'!$A$2:$A$121,0))&gt;=INDEX('Strategies'!$C$2:$C$6,MATCH(B102,'Strategies'!$A$2:$A$6,0))),1,0)</x:f>
        <x:v>0</x:v>
      </x:c>
      <x:c r="E102" s="15" t="n">
        <x:f>INDEX('Respondents'!$B$2:$B$121,MATCH(A102,'Respondents'!$A$2:$A$121,0))</x:f>
        <x:v>1</x:v>
      </x:c>
    </x:row>
    <x:row r="103">
      <x:c r="A103" s="14" t="n">
        <x:v>21</x:v>
      </x:c>
      <x:c r="B103" s="14" t="n">
        <x:v>2</x:v>
      </x:c>
      <x:c r="C103" s="14" t="n">
        <x:v>1</x:v>
      </x:c>
      <x:c r="D103" s="15" t="n">
        <x:f>IF(AND(C103=1,INDEX('Respondents'!$C$2:$C$121,MATCH(A103,'Respondents'!$A$2:$A$121,0))&gt;=INDEX('Strategies'!$C$2:$C$6,MATCH(B103,'Strategies'!$A$2:$A$6,0))),1,0)</x:f>
        <x:v>1</x:v>
      </x:c>
      <x:c r="E103" s="15" t="n">
        <x:f>INDEX('Respondents'!$B$2:$B$121,MATCH(A103,'Respondents'!$A$2:$A$121,0))</x:f>
        <x:v>1</x:v>
      </x:c>
    </x:row>
    <x:row r="104">
      <x:c r="A104" s="14" t="n">
        <x:v>21</x:v>
      </x:c>
      <x:c r="B104" s="14" t="n">
        <x:v>3</x:v>
      </x:c>
      <x:c r="C104" s="14" t="n">
        <x:v>1</x:v>
      </x:c>
      <x:c r="D104" s="15" t="n">
        <x:f>IF(AND(C104=1,INDEX('Respondents'!$C$2:$C$121,MATCH(A104,'Respondents'!$A$2:$A$121,0))&gt;=INDEX('Strategies'!$C$2:$C$6,MATCH(B104,'Strategies'!$A$2:$A$6,0))),1,0)</x:f>
        <x:v>1</x:v>
      </x:c>
      <x:c r="E104" s="15" t="n">
        <x:f>INDEX('Respondents'!$B$2:$B$121,MATCH(A104,'Respondents'!$A$2:$A$121,0))</x:f>
        <x:v>1</x:v>
      </x:c>
    </x:row>
    <x:row r="105">
      <x:c r="A105" s="14" t="n">
        <x:v>21</x:v>
      </x:c>
      <x:c r="B105" s="14" t="n">
        <x:v>4</x:v>
      </x:c>
      <x:c r="C105" s="14" t="n">
        <x:v>0</x:v>
      </x:c>
      <x:c r="D105" s="15" t="n">
        <x:f>IF(AND(C105=1,INDEX('Respondents'!$C$2:$C$121,MATCH(A105,'Respondents'!$A$2:$A$121,0))&gt;=INDEX('Strategies'!$C$2:$C$6,MATCH(B105,'Strategies'!$A$2:$A$6,0))),1,0)</x:f>
        <x:v>0</x:v>
      </x:c>
      <x:c r="E105" s="15" t="n">
        <x:f>INDEX('Respondents'!$B$2:$B$121,MATCH(A105,'Respondents'!$A$2:$A$121,0))</x:f>
        <x:v>1</x:v>
      </x:c>
    </x:row>
    <x:row r="106">
      <x:c r="A106" s="14" t="n">
        <x:v>21</x:v>
      </x:c>
      <x:c r="B106" s="14" t="n">
        <x:v>5</x:v>
      </x:c>
      <x:c r="C106" s="14" t="n">
        <x:v>1</x:v>
      </x:c>
      <x:c r="D106" s="15" t="n">
        <x:f>IF(AND(C106=1,INDEX('Respondents'!$C$2:$C$121,MATCH(A106,'Respondents'!$A$2:$A$121,0))&gt;=INDEX('Strategies'!$C$2:$C$6,MATCH(B106,'Strategies'!$A$2:$A$6,0))),1,0)</x:f>
        <x:v>1</x:v>
      </x:c>
      <x:c r="E106" s="15" t="n">
        <x:f>INDEX('Respondents'!$B$2:$B$121,MATCH(A106,'Respondents'!$A$2:$A$121,0))</x:f>
        <x:v>1</x:v>
      </x:c>
    </x:row>
    <x:row r="107">
      <x:c r="A107" s="14" t="n">
        <x:v>22</x:v>
      </x:c>
      <x:c r="B107" s="14" t="n">
        <x:v>1</x:v>
      </x:c>
      <x:c r="C107" s="14" t="n">
        <x:v>1</x:v>
      </x:c>
      <x:c r="D107" s="15" t="n">
        <x:f>IF(AND(C107=1,INDEX('Respondents'!$C$2:$C$121,MATCH(A107,'Respondents'!$A$2:$A$121,0))&gt;=INDEX('Strategies'!$C$2:$C$6,MATCH(B107,'Strategies'!$A$2:$A$6,0))),1,0)</x:f>
        <x:v>0</x:v>
      </x:c>
      <x:c r="E107" s="15" t="n">
        <x:f>INDEX('Respondents'!$B$2:$B$121,MATCH(A107,'Respondents'!$A$2:$A$121,0))</x:f>
        <x:v>1</x:v>
      </x:c>
    </x:row>
    <x:row r="108">
      <x:c r="A108" s="14" t="n">
        <x:v>22</x:v>
      </x:c>
      <x:c r="B108" s="14" t="n">
        <x:v>2</x:v>
      </x:c>
      <x:c r="C108" s="14" t="n">
        <x:v>1</x:v>
      </x:c>
      <x:c r="D108" s="15" t="n">
        <x:f>IF(AND(C108=1,INDEX('Respondents'!$C$2:$C$121,MATCH(A108,'Respondents'!$A$2:$A$121,0))&gt;=INDEX('Strategies'!$C$2:$C$6,MATCH(B108,'Strategies'!$A$2:$A$6,0))),1,0)</x:f>
        <x:v>1</x:v>
      </x:c>
      <x:c r="E108" s="15" t="n">
        <x:f>INDEX('Respondents'!$B$2:$B$121,MATCH(A108,'Respondents'!$A$2:$A$121,0))</x:f>
        <x:v>1</x:v>
      </x:c>
    </x:row>
    <x:row r="109">
      <x:c r="A109" s="14" t="n">
        <x:v>22</x:v>
      </x:c>
      <x:c r="B109" s="14" t="n">
        <x:v>3</x:v>
      </x:c>
      <x:c r="C109" s="14" t="n">
        <x:v>0</x:v>
      </x:c>
      <x:c r="D109" s="15" t="n">
        <x:f>IF(AND(C109=1,INDEX('Respondents'!$C$2:$C$121,MATCH(A109,'Respondents'!$A$2:$A$121,0))&gt;=INDEX('Strategies'!$C$2:$C$6,MATCH(B109,'Strategies'!$A$2:$A$6,0))),1,0)</x:f>
        <x:v>0</x:v>
      </x:c>
      <x:c r="E109" s="15" t="n">
        <x:f>INDEX('Respondents'!$B$2:$B$121,MATCH(A109,'Respondents'!$A$2:$A$121,0))</x:f>
        <x:v>1</x:v>
      </x:c>
    </x:row>
    <x:row r="110">
      <x:c r="A110" s="14" t="n">
        <x:v>22</x:v>
      </x:c>
      <x:c r="B110" s="14" t="n">
        <x:v>4</x:v>
      </x:c>
      <x:c r="C110" s="14" t="n">
        <x:v>1</x:v>
      </x:c>
      <x:c r="D110" s="15" t="n">
        <x:f>IF(AND(C110=1,INDEX('Respondents'!$C$2:$C$121,MATCH(A110,'Respondents'!$A$2:$A$121,0))&gt;=INDEX('Strategies'!$C$2:$C$6,MATCH(B110,'Strategies'!$A$2:$A$6,0))),1,0)</x:f>
        <x:v>1</x:v>
      </x:c>
      <x:c r="E110" s="15" t="n">
        <x:f>INDEX('Respondents'!$B$2:$B$121,MATCH(A110,'Respondents'!$A$2:$A$121,0))</x:f>
        <x:v>1</x:v>
      </x:c>
    </x:row>
    <x:row r="111">
      <x:c r="A111" s="14" t="n">
        <x:v>22</x:v>
      </x:c>
      <x:c r="B111" s="14" t="n">
        <x:v>5</x:v>
      </x:c>
      <x:c r="C111" s="14" t="n">
        <x:v>1</x:v>
      </x:c>
      <x:c r="D111" s="15" t="n">
        <x:f>IF(AND(C111=1,INDEX('Respondents'!$C$2:$C$121,MATCH(A111,'Respondents'!$A$2:$A$121,0))&gt;=INDEX('Strategies'!$C$2:$C$6,MATCH(B111,'Strategies'!$A$2:$A$6,0))),1,0)</x:f>
        <x:v>0</x:v>
      </x:c>
      <x:c r="E111" s="15" t="n">
        <x:f>INDEX('Respondents'!$B$2:$B$121,MATCH(A111,'Respondents'!$A$2:$A$121,0))</x:f>
        <x:v>1</x:v>
      </x:c>
    </x:row>
    <x:row r="112">
      <x:c r="A112" s="14" t="n">
        <x:v>23</x:v>
      </x:c>
      <x:c r="B112" s="14" t="n">
        <x:v>1</x:v>
      </x:c>
      <x:c r="C112" s="14" t="n">
        <x:v>1</x:v>
      </x:c>
      <x:c r="D112" s="15" t="n">
        <x:f>IF(AND(C112=1,INDEX('Respondents'!$C$2:$C$121,MATCH(A112,'Respondents'!$A$2:$A$121,0))&gt;=INDEX('Strategies'!$C$2:$C$6,MATCH(B112,'Strategies'!$A$2:$A$6,0))),1,0)</x:f>
        <x:v>0</x:v>
      </x:c>
      <x:c r="E112" s="15" t="n">
        <x:f>INDEX('Respondents'!$B$2:$B$121,MATCH(A112,'Respondents'!$A$2:$A$121,0))</x:f>
        <x:v>1</x:v>
      </x:c>
    </x:row>
    <x:row r="113">
      <x:c r="A113" s="14" t="n">
        <x:v>23</x:v>
      </x:c>
      <x:c r="B113" s="14" t="n">
        <x:v>2</x:v>
      </x:c>
      <x:c r="C113" s="14" t="n">
        <x:v>1</x:v>
      </x:c>
      <x:c r="D113" s="15" t="n">
        <x:f>IF(AND(C113=1,INDEX('Respondents'!$C$2:$C$121,MATCH(A113,'Respondents'!$A$2:$A$121,0))&gt;=INDEX('Strategies'!$C$2:$C$6,MATCH(B113,'Strategies'!$A$2:$A$6,0))),1,0)</x:f>
        <x:v>0</x:v>
      </x:c>
      <x:c r="E113" s="15" t="n">
        <x:f>INDEX('Respondents'!$B$2:$B$121,MATCH(A113,'Respondents'!$A$2:$A$121,0))</x:f>
        <x:v>1</x:v>
      </x:c>
    </x:row>
    <x:row r="114">
      <x:c r="A114" s="14" t="n">
        <x:v>23</x:v>
      </x:c>
      <x:c r="B114" s="14" t="n">
        <x:v>3</x:v>
      </x:c>
      <x:c r="C114" s="14" t="n">
        <x:v>1</x:v>
      </x:c>
      <x:c r="D114" s="15" t="n">
        <x:f>IF(AND(C114=1,INDEX('Respondents'!$C$2:$C$121,MATCH(A114,'Respondents'!$A$2:$A$121,0))&gt;=INDEX('Strategies'!$C$2:$C$6,MATCH(B114,'Strategies'!$A$2:$A$6,0))),1,0)</x:f>
        <x:v>0</x:v>
      </x:c>
      <x:c r="E114" s="15" t="n">
        <x:f>INDEX('Respondents'!$B$2:$B$121,MATCH(A114,'Respondents'!$A$2:$A$121,0))</x:f>
        <x:v>1</x:v>
      </x:c>
    </x:row>
    <x:row r="115">
      <x:c r="A115" s="14" t="n">
        <x:v>23</x:v>
      </x:c>
      <x:c r="B115" s="14" t="n">
        <x:v>4</x:v>
      </x:c>
      <x:c r="C115" s="14" t="n">
        <x:v>1</x:v>
      </x:c>
      <x:c r="D115" s="15" t="n">
        <x:f>IF(AND(C115=1,INDEX('Respondents'!$C$2:$C$121,MATCH(A115,'Respondents'!$A$2:$A$121,0))&gt;=INDEX('Strategies'!$C$2:$C$6,MATCH(B115,'Strategies'!$A$2:$A$6,0))),1,0)</x:f>
        <x:v>1</x:v>
      </x:c>
      <x:c r="E115" s="15" t="n">
        <x:f>INDEX('Respondents'!$B$2:$B$121,MATCH(A115,'Respondents'!$A$2:$A$121,0))</x:f>
        <x:v>1</x:v>
      </x:c>
    </x:row>
    <x:row r="116">
      <x:c r="A116" s="14" t="n">
        <x:v>23</x:v>
      </x:c>
      <x:c r="B116" s="14" t="n">
        <x:v>5</x:v>
      </x:c>
      <x:c r="C116" s="14" t="n">
        <x:v>1</x:v>
      </x:c>
      <x:c r="D116" s="15" t="n">
        <x:f>IF(AND(C116=1,INDEX('Respondents'!$C$2:$C$121,MATCH(A116,'Respondents'!$A$2:$A$121,0))&gt;=INDEX('Strategies'!$C$2:$C$6,MATCH(B116,'Strategies'!$A$2:$A$6,0))),1,0)</x:f>
        <x:v>0</x:v>
      </x:c>
      <x:c r="E116" s="15" t="n">
        <x:f>INDEX('Respondents'!$B$2:$B$121,MATCH(A116,'Respondents'!$A$2:$A$121,0))</x:f>
        <x:v>1</x:v>
      </x:c>
    </x:row>
    <x:row r="117">
      <x:c r="A117" s="14" t="n">
        <x:v>24</x:v>
      </x:c>
      <x:c r="B117" s="14" t="n">
        <x:v>1</x:v>
      </x:c>
      <x:c r="C117" s="14" t="n">
        <x:v>1</x:v>
      </x:c>
      <x:c r="D117" s="15" t="n">
        <x:f>IF(AND(C117=1,INDEX('Respondents'!$C$2:$C$121,MATCH(A117,'Respondents'!$A$2:$A$121,0))&gt;=INDEX('Strategies'!$C$2:$C$6,MATCH(B117,'Strategies'!$A$2:$A$6,0))),1,0)</x:f>
        <x:v>0</x:v>
      </x:c>
      <x:c r="E117" s="15" t="n">
        <x:f>INDEX('Respondents'!$B$2:$B$121,MATCH(A117,'Respondents'!$A$2:$A$121,0))</x:f>
        <x:v>1</x:v>
      </x:c>
    </x:row>
    <x:row r="118">
      <x:c r="A118" s="14" t="n">
        <x:v>24</x:v>
      </x:c>
      <x:c r="B118" s="14" t="n">
        <x:v>2</x:v>
      </x:c>
      <x:c r="C118" s="14" t="n">
        <x:v>1</x:v>
      </x:c>
      <x:c r="D118" s="15" t="n">
        <x:f>IF(AND(C118=1,INDEX('Respondents'!$C$2:$C$121,MATCH(A118,'Respondents'!$A$2:$A$121,0))&gt;=INDEX('Strategies'!$C$2:$C$6,MATCH(B118,'Strategies'!$A$2:$A$6,0))),1,0)</x:f>
        <x:v>1</x:v>
      </x:c>
      <x:c r="E118" s="15" t="n">
        <x:f>INDEX('Respondents'!$B$2:$B$121,MATCH(A118,'Respondents'!$A$2:$A$121,0))</x:f>
        <x:v>1</x:v>
      </x:c>
    </x:row>
    <x:row r="119">
      <x:c r="A119" s="14" t="n">
        <x:v>24</x:v>
      </x:c>
      <x:c r="B119" s="14" t="n">
        <x:v>3</x:v>
      </x:c>
      <x:c r="C119" s="14" t="n">
        <x:v>1</x:v>
      </x:c>
      <x:c r="D119" s="15" t="n">
        <x:f>IF(AND(C119=1,INDEX('Respondents'!$C$2:$C$121,MATCH(A119,'Respondents'!$A$2:$A$121,0))&gt;=INDEX('Strategies'!$C$2:$C$6,MATCH(B119,'Strategies'!$A$2:$A$6,0))),1,0)</x:f>
        <x:v>1</x:v>
      </x:c>
      <x:c r="E119" s="15" t="n">
        <x:f>INDEX('Respondents'!$B$2:$B$121,MATCH(A119,'Respondents'!$A$2:$A$121,0))</x:f>
        <x:v>1</x:v>
      </x:c>
    </x:row>
    <x:row r="120">
      <x:c r="A120" s="14" t="n">
        <x:v>24</x:v>
      </x:c>
      <x:c r="B120" s="14" t="n">
        <x:v>4</x:v>
      </x:c>
      <x:c r="C120" s="14" t="n">
        <x:v>1</x:v>
      </x:c>
      <x:c r="D120" s="15" t="n">
        <x:f>IF(AND(C120=1,INDEX('Respondents'!$C$2:$C$121,MATCH(A120,'Respondents'!$A$2:$A$121,0))&gt;=INDEX('Strategies'!$C$2:$C$6,MATCH(B120,'Strategies'!$A$2:$A$6,0))),1,0)</x:f>
        <x:v>1</x:v>
      </x:c>
      <x:c r="E120" s="15" t="n">
        <x:f>INDEX('Respondents'!$B$2:$B$121,MATCH(A120,'Respondents'!$A$2:$A$121,0))</x:f>
        <x:v>1</x:v>
      </x:c>
    </x:row>
    <x:row r="121">
      <x:c r="A121" s="14" t="n">
        <x:v>24</x:v>
      </x:c>
      <x:c r="B121" s="14" t="n">
        <x:v>5</x:v>
      </x:c>
      <x:c r="C121" s="14" t="n">
        <x:v>0</x:v>
      </x:c>
      <x:c r="D121" s="15" t="n">
        <x:f>IF(AND(C121=1,INDEX('Respondents'!$C$2:$C$121,MATCH(A121,'Respondents'!$A$2:$A$121,0))&gt;=INDEX('Strategies'!$C$2:$C$6,MATCH(B121,'Strategies'!$A$2:$A$6,0))),1,0)</x:f>
        <x:v>0</x:v>
      </x:c>
      <x:c r="E121" s="15" t="n">
        <x:f>INDEX('Respondents'!$B$2:$B$121,MATCH(A121,'Respondents'!$A$2:$A$121,0))</x:f>
        <x:v>1</x:v>
      </x:c>
    </x:row>
    <x:row r="122">
      <x:c r="A122" s="14" t="n">
        <x:v>25</x:v>
      </x:c>
      <x:c r="B122" s="14" t="n">
        <x:v>1</x:v>
      </x:c>
      <x:c r="C122" s="14" t="n">
        <x:v>1</x:v>
      </x:c>
      <x:c r="D122" s="15" t="n">
        <x:f>IF(AND(C122=1,INDEX('Respondents'!$C$2:$C$121,MATCH(A122,'Respondents'!$A$2:$A$121,0))&gt;=INDEX('Strategies'!$C$2:$C$6,MATCH(B122,'Strategies'!$A$2:$A$6,0))),1,0)</x:f>
        <x:v>1</x:v>
      </x:c>
      <x:c r="E122" s="15" t="n">
        <x:f>INDEX('Respondents'!$B$2:$B$121,MATCH(A122,'Respondents'!$A$2:$A$121,0))</x:f>
        <x:v>1</x:v>
      </x:c>
    </x:row>
    <x:row r="123">
      <x:c r="A123" s="14" t="n">
        <x:v>25</x:v>
      </x:c>
      <x:c r="B123" s="14" t="n">
        <x:v>2</x:v>
      </x:c>
      <x:c r="C123" s="14" t="n">
        <x:v>1</x:v>
      </x:c>
      <x:c r="D123" s="15" t="n">
        <x:f>IF(AND(C123=1,INDEX('Respondents'!$C$2:$C$121,MATCH(A123,'Respondents'!$A$2:$A$121,0))&gt;=INDEX('Strategies'!$C$2:$C$6,MATCH(B123,'Strategies'!$A$2:$A$6,0))),1,0)</x:f>
        <x:v>1</x:v>
      </x:c>
      <x:c r="E123" s="15" t="n">
        <x:f>INDEX('Respondents'!$B$2:$B$121,MATCH(A123,'Respondents'!$A$2:$A$121,0))</x:f>
        <x:v>1</x:v>
      </x:c>
    </x:row>
    <x:row r="124">
      <x:c r="A124" s="14" t="n">
        <x:v>25</x:v>
      </x:c>
      <x:c r="B124" s="14" t="n">
        <x:v>3</x:v>
      </x:c>
      <x:c r="C124" s="14" t="n">
        <x:v>1</x:v>
      </x:c>
      <x:c r="D124" s="15" t="n">
        <x:f>IF(AND(C124=1,INDEX('Respondents'!$C$2:$C$121,MATCH(A124,'Respondents'!$A$2:$A$121,0))&gt;=INDEX('Strategies'!$C$2:$C$6,MATCH(B124,'Strategies'!$A$2:$A$6,0))),1,0)</x:f>
        <x:v>1</x:v>
      </x:c>
      <x:c r="E124" s="15" t="n">
        <x:f>INDEX('Respondents'!$B$2:$B$121,MATCH(A124,'Respondents'!$A$2:$A$121,0))</x:f>
        <x:v>1</x:v>
      </x:c>
    </x:row>
    <x:row r="125">
      <x:c r="A125" s="14" t="n">
        <x:v>25</x:v>
      </x:c>
      <x:c r="B125" s="14" t="n">
        <x:v>4</x:v>
      </x:c>
      <x:c r="C125" s="14" t="n">
        <x:v>0</x:v>
      </x:c>
      <x:c r="D125" s="15" t="n">
        <x:f>IF(AND(C125=1,INDEX('Respondents'!$C$2:$C$121,MATCH(A125,'Respondents'!$A$2:$A$121,0))&gt;=INDEX('Strategies'!$C$2:$C$6,MATCH(B125,'Strategies'!$A$2:$A$6,0))),1,0)</x:f>
        <x:v>0</x:v>
      </x:c>
      <x:c r="E125" s="15" t="n">
        <x:f>INDEX('Respondents'!$B$2:$B$121,MATCH(A125,'Respondents'!$A$2:$A$121,0))</x:f>
        <x:v>1</x:v>
      </x:c>
    </x:row>
    <x:row r="126">
      <x:c r="A126" s="14" t="n">
        <x:v>25</x:v>
      </x:c>
      <x:c r="B126" s="14" t="n">
        <x:v>5</x:v>
      </x:c>
      <x:c r="C126" s="14" t="n">
        <x:v>1</x:v>
      </x:c>
      <x:c r="D126" s="15" t="n">
        <x:f>IF(AND(C126=1,INDEX('Respondents'!$C$2:$C$121,MATCH(A126,'Respondents'!$A$2:$A$121,0))&gt;=INDEX('Strategies'!$C$2:$C$6,MATCH(B126,'Strategies'!$A$2:$A$6,0))),1,0)</x:f>
        <x:v>1</x:v>
      </x:c>
      <x:c r="E126" s="15" t="n">
        <x:f>INDEX('Respondents'!$B$2:$B$121,MATCH(A126,'Respondents'!$A$2:$A$121,0))</x:f>
        <x:v>1</x:v>
      </x:c>
    </x:row>
    <x:row r="127">
      <x:c r="A127" s="14" t="n">
        <x:v>26</x:v>
      </x:c>
      <x:c r="B127" s="14" t="n">
        <x:v>1</x:v>
      </x:c>
      <x:c r="C127" s="14" t="n">
        <x:v>1</x:v>
      </x:c>
      <x:c r="D127" s="15" t="n">
        <x:f>IF(AND(C127=1,INDEX('Respondents'!$C$2:$C$121,MATCH(A127,'Respondents'!$A$2:$A$121,0))&gt;=INDEX('Strategies'!$C$2:$C$6,MATCH(B127,'Strategies'!$A$2:$A$6,0))),1,0)</x:f>
        <x:v>0</x:v>
      </x:c>
      <x:c r="E127" s="15" t="n">
        <x:f>INDEX('Respondents'!$B$2:$B$121,MATCH(A127,'Respondents'!$A$2:$A$121,0))</x:f>
        <x:v>1</x:v>
      </x:c>
    </x:row>
    <x:row r="128">
      <x:c r="A128" s="14" t="n">
        <x:v>26</x:v>
      </x:c>
      <x:c r="B128" s="14" t="n">
        <x:v>2</x:v>
      </x:c>
      <x:c r="C128" s="14" t="n">
        <x:v>1</x:v>
      </x:c>
      <x:c r="D128" s="15" t="n">
        <x:f>IF(AND(C128=1,INDEX('Respondents'!$C$2:$C$121,MATCH(A128,'Respondents'!$A$2:$A$121,0))&gt;=INDEX('Strategies'!$C$2:$C$6,MATCH(B128,'Strategies'!$A$2:$A$6,0))),1,0)</x:f>
        <x:v>1</x:v>
      </x:c>
      <x:c r="E128" s="15" t="n">
        <x:f>INDEX('Respondents'!$B$2:$B$121,MATCH(A128,'Respondents'!$A$2:$A$121,0))</x:f>
        <x:v>1</x:v>
      </x:c>
    </x:row>
    <x:row r="129">
      <x:c r="A129" s="14" t="n">
        <x:v>26</x:v>
      </x:c>
      <x:c r="B129" s="14" t="n">
        <x:v>3</x:v>
      </x:c>
      <x:c r="C129" s="14" t="n">
        <x:v>1</x:v>
      </x:c>
      <x:c r="D129" s="15" t="n">
        <x:f>IF(AND(C129=1,INDEX('Respondents'!$C$2:$C$121,MATCH(A129,'Respondents'!$A$2:$A$121,0))&gt;=INDEX('Strategies'!$C$2:$C$6,MATCH(B129,'Strategies'!$A$2:$A$6,0))),1,0)</x:f>
        <x:v>0</x:v>
      </x:c>
      <x:c r="E129" s="15" t="n">
        <x:f>INDEX('Respondents'!$B$2:$B$121,MATCH(A129,'Respondents'!$A$2:$A$121,0))</x:f>
        <x:v>1</x:v>
      </x:c>
    </x:row>
    <x:row r="130">
      <x:c r="A130" s="14" t="n">
        <x:v>26</x:v>
      </x:c>
      <x:c r="B130" s="14" t="n">
        <x:v>4</x:v>
      </x:c>
      <x:c r="C130" s="14" t="n">
        <x:v>1</x:v>
      </x:c>
      <x:c r="D130" s="15" t="n">
        <x:f>IF(AND(C130=1,INDEX('Respondents'!$C$2:$C$121,MATCH(A130,'Respondents'!$A$2:$A$121,0))&gt;=INDEX('Strategies'!$C$2:$C$6,MATCH(B130,'Strategies'!$A$2:$A$6,0))),1,0)</x:f>
        <x:v>1</x:v>
      </x:c>
      <x:c r="E130" s="15" t="n">
        <x:f>INDEX('Respondents'!$B$2:$B$121,MATCH(A130,'Respondents'!$A$2:$A$121,0))</x:f>
        <x:v>1</x:v>
      </x:c>
    </x:row>
    <x:row r="131">
      <x:c r="A131" s="14" t="n">
        <x:v>26</x:v>
      </x:c>
      <x:c r="B131" s="14" t="n">
        <x:v>5</x:v>
      </x:c>
      <x:c r="C131" s="14" t="n">
        <x:v>0</x:v>
      </x:c>
      <x:c r="D131" s="15" t="n">
        <x:f>IF(AND(C131=1,INDEX('Respondents'!$C$2:$C$121,MATCH(A131,'Respondents'!$A$2:$A$121,0))&gt;=INDEX('Strategies'!$C$2:$C$6,MATCH(B131,'Strategies'!$A$2:$A$6,0))),1,0)</x:f>
        <x:v>0</x:v>
      </x:c>
      <x:c r="E131" s="15" t="n">
        <x:f>INDEX('Respondents'!$B$2:$B$121,MATCH(A131,'Respondents'!$A$2:$A$121,0))</x:f>
        <x:v>1</x:v>
      </x:c>
    </x:row>
    <x:row r="132">
      <x:c r="A132" s="14" t="n">
        <x:v>27</x:v>
      </x:c>
      <x:c r="B132" s="14" t="n">
        <x:v>1</x:v>
      </x:c>
      <x:c r="C132" s="14" t="n">
        <x:v>1</x:v>
      </x:c>
      <x:c r="D132" s="15" t="n">
        <x:f>IF(AND(C132=1,INDEX('Respondents'!$C$2:$C$121,MATCH(A132,'Respondents'!$A$2:$A$121,0))&gt;=INDEX('Strategies'!$C$2:$C$6,MATCH(B132,'Strategies'!$A$2:$A$6,0))),1,0)</x:f>
        <x:v>0</x:v>
      </x:c>
      <x:c r="E132" s="15" t="n">
        <x:f>INDEX('Respondents'!$B$2:$B$121,MATCH(A132,'Respondents'!$A$2:$A$121,0))</x:f>
        <x:v>1</x:v>
      </x:c>
    </x:row>
    <x:row r="133">
      <x:c r="A133" s="14" t="n">
        <x:v>27</x:v>
      </x:c>
      <x:c r="B133" s="14" t="n">
        <x:v>2</x:v>
      </x:c>
      <x:c r="C133" s="14" t="n">
        <x:v>0</x:v>
      </x:c>
      <x:c r="D133" s="15" t="n">
        <x:f>IF(AND(C133=1,INDEX('Respondents'!$C$2:$C$121,MATCH(A133,'Respondents'!$A$2:$A$121,0))&gt;=INDEX('Strategies'!$C$2:$C$6,MATCH(B133,'Strategies'!$A$2:$A$6,0))),1,0)</x:f>
        <x:v>0</x:v>
      </x:c>
      <x:c r="E133" s="15" t="n">
        <x:f>INDEX('Respondents'!$B$2:$B$121,MATCH(A133,'Respondents'!$A$2:$A$121,0))</x:f>
        <x:v>1</x:v>
      </x:c>
    </x:row>
    <x:row r="134">
      <x:c r="A134" s="14" t="n">
        <x:v>27</x:v>
      </x:c>
      <x:c r="B134" s="14" t="n">
        <x:v>3</x:v>
      </x:c>
      <x:c r="C134" s="14" t="n">
        <x:v>1</x:v>
      </x:c>
      <x:c r="D134" s="15" t="n">
        <x:f>IF(AND(C134=1,INDEX('Respondents'!$C$2:$C$121,MATCH(A134,'Respondents'!$A$2:$A$121,0))&gt;=INDEX('Strategies'!$C$2:$C$6,MATCH(B134,'Strategies'!$A$2:$A$6,0))),1,0)</x:f>
        <x:v>1</x:v>
      </x:c>
      <x:c r="E134" s="15" t="n">
        <x:f>INDEX('Respondents'!$B$2:$B$121,MATCH(A134,'Respondents'!$A$2:$A$121,0))</x:f>
        <x:v>1</x:v>
      </x:c>
    </x:row>
    <x:row r="135">
      <x:c r="A135" s="14" t="n">
        <x:v>27</x:v>
      </x:c>
      <x:c r="B135" s="14" t="n">
        <x:v>4</x:v>
      </x:c>
      <x:c r="C135" s="14" t="n">
        <x:v>1</x:v>
      </x:c>
      <x:c r="D135" s="15" t="n">
        <x:f>IF(AND(C135=1,INDEX('Respondents'!$C$2:$C$121,MATCH(A135,'Respondents'!$A$2:$A$121,0))&gt;=INDEX('Strategies'!$C$2:$C$6,MATCH(B135,'Strategies'!$A$2:$A$6,0))),1,0)</x:f>
        <x:v>1</x:v>
      </x:c>
      <x:c r="E135" s="15" t="n">
        <x:f>INDEX('Respondents'!$B$2:$B$121,MATCH(A135,'Respondents'!$A$2:$A$121,0))</x:f>
        <x:v>1</x:v>
      </x:c>
    </x:row>
    <x:row r="136">
      <x:c r="A136" s="14" t="n">
        <x:v>27</x:v>
      </x:c>
      <x:c r="B136" s="14" t="n">
        <x:v>5</x:v>
      </x:c>
      <x:c r="C136" s="14" t="n">
        <x:v>1</x:v>
      </x:c>
      <x:c r="D136" s="15" t="n">
        <x:f>IF(AND(C136=1,INDEX('Respondents'!$C$2:$C$121,MATCH(A136,'Respondents'!$A$2:$A$121,0))&gt;=INDEX('Strategies'!$C$2:$C$6,MATCH(B136,'Strategies'!$A$2:$A$6,0))),1,0)</x:f>
        <x:v>0</x:v>
      </x:c>
      <x:c r="E136" s="15" t="n">
        <x:f>INDEX('Respondents'!$B$2:$B$121,MATCH(A136,'Respondents'!$A$2:$A$121,0))</x:f>
        <x:v>1</x:v>
      </x:c>
    </x:row>
    <x:row r="137">
      <x:c r="A137" s="14" t="n">
        <x:v>28</x:v>
      </x:c>
      <x:c r="B137" s="14" t="n">
        <x:v>1</x:v>
      </x:c>
      <x:c r="C137" s="14" t="n">
        <x:v>1</x:v>
      </x:c>
      <x:c r="D137" s="15" t="n">
        <x:f>IF(AND(C137=1,INDEX('Respondents'!$C$2:$C$121,MATCH(A137,'Respondents'!$A$2:$A$121,0))&gt;=INDEX('Strategies'!$C$2:$C$6,MATCH(B137,'Strategies'!$A$2:$A$6,0))),1,0)</x:f>
        <x:v>1</x:v>
      </x:c>
      <x:c r="E137" s="15" t="n">
        <x:f>INDEX('Respondents'!$B$2:$B$121,MATCH(A137,'Respondents'!$A$2:$A$121,0))</x:f>
        <x:v>1</x:v>
      </x:c>
    </x:row>
    <x:row r="138">
      <x:c r="A138" s="14" t="n">
        <x:v>28</x:v>
      </x:c>
      <x:c r="B138" s="14" t="n">
        <x:v>2</x:v>
      </x:c>
      <x:c r="C138" s="14" t="n">
        <x:v>1</x:v>
      </x:c>
      <x:c r="D138" s="15" t="n">
        <x:f>IF(AND(C138=1,INDEX('Respondents'!$C$2:$C$121,MATCH(A138,'Respondents'!$A$2:$A$121,0))&gt;=INDEX('Strategies'!$C$2:$C$6,MATCH(B138,'Strategies'!$A$2:$A$6,0))),1,0)</x:f>
        <x:v>1</x:v>
      </x:c>
      <x:c r="E138" s="15" t="n">
        <x:f>INDEX('Respondents'!$B$2:$B$121,MATCH(A138,'Respondents'!$A$2:$A$121,0))</x:f>
        <x:v>1</x:v>
      </x:c>
    </x:row>
    <x:row r="139">
      <x:c r="A139" s="14" t="n">
        <x:v>28</x:v>
      </x:c>
      <x:c r="B139" s="14" t="n">
        <x:v>3</x:v>
      </x:c>
      <x:c r="C139" s="14" t="n">
        <x:v>1</x:v>
      </x:c>
      <x:c r="D139" s="15" t="n">
        <x:f>IF(AND(C139=1,INDEX('Respondents'!$C$2:$C$121,MATCH(A139,'Respondents'!$A$2:$A$121,0))&gt;=INDEX('Strategies'!$C$2:$C$6,MATCH(B139,'Strategies'!$A$2:$A$6,0))),1,0)</x:f>
        <x:v>1</x:v>
      </x:c>
      <x:c r="E139" s="15" t="n">
        <x:f>INDEX('Respondents'!$B$2:$B$121,MATCH(A139,'Respondents'!$A$2:$A$121,0))</x:f>
        <x:v>1</x:v>
      </x:c>
    </x:row>
    <x:row r="140">
      <x:c r="A140" s="14" t="n">
        <x:v>28</x:v>
      </x:c>
      <x:c r="B140" s="14" t="n">
        <x:v>4</x:v>
      </x:c>
      <x:c r="C140" s="14" t="n">
        <x:v>1</x:v>
      </x:c>
      <x:c r="D140" s="15" t="n">
        <x:f>IF(AND(C140=1,INDEX('Respondents'!$C$2:$C$121,MATCH(A140,'Respondents'!$A$2:$A$121,0))&gt;=INDEX('Strategies'!$C$2:$C$6,MATCH(B140,'Strategies'!$A$2:$A$6,0))),1,0)</x:f>
        <x:v>1</x:v>
      </x:c>
      <x:c r="E140" s="15" t="n">
        <x:f>INDEX('Respondents'!$B$2:$B$121,MATCH(A140,'Respondents'!$A$2:$A$121,0))</x:f>
        <x:v>1</x:v>
      </x:c>
    </x:row>
    <x:row r="141">
      <x:c r="A141" s="14" t="n">
        <x:v>28</x:v>
      </x:c>
      <x:c r="B141" s="14" t="n">
        <x:v>5</x:v>
      </x:c>
      <x:c r="C141" s="14" t="n">
        <x:v>0</x:v>
      </x:c>
      <x:c r="D141" s="15" t="n">
        <x:f>IF(AND(C141=1,INDEX('Respondents'!$C$2:$C$121,MATCH(A141,'Respondents'!$A$2:$A$121,0))&gt;=INDEX('Strategies'!$C$2:$C$6,MATCH(B141,'Strategies'!$A$2:$A$6,0))),1,0)</x:f>
        <x:v>0</x:v>
      </x:c>
      <x:c r="E141" s="15" t="n">
        <x:f>INDEX('Respondents'!$B$2:$B$121,MATCH(A141,'Respondents'!$A$2:$A$121,0))</x:f>
        <x:v>1</x:v>
      </x:c>
    </x:row>
    <x:row r="142">
      <x:c r="A142" s="14" t="n">
        <x:v>29</x:v>
      </x:c>
      <x:c r="B142" s="14" t="n">
        <x:v>1</x:v>
      </x:c>
      <x:c r="C142" s="14" t="n">
        <x:v>0</x:v>
      </x:c>
      <x:c r="D142" s="15" t="n">
        <x:f>IF(AND(C142=1,INDEX('Respondents'!$C$2:$C$121,MATCH(A142,'Respondents'!$A$2:$A$121,0))&gt;=INDEX('Strategies'!$C$2:$C$6,MATCH(B142,'Strategies'!$A$2:$A$6,0))),1,0)</x:f>
        <x:v>0</x:v>
      </x:c>
      <x:c r="E142" s="15" t="n">
        <x:f>INDEX('Respondents'!$B$2:$B$121,MATCH(A142,'Respondents'!$A$2:$A$121,0))</x:f>
        <x:v>1</x:v>
      </x:c>
    </x:row>
    <x:row r="143">
      <x:c r="A143" s="14" t="n">
        <x:v>29</x:v>
      </x:c>
      <x:c r="B143" s="14" t="n">
        <x:v>2</x:v>
      </x:c>
      <x:c r="C143" s="14" t="n">
        <x:v>1</x:v>
      </x:c>
      <x:c r="D143" s="15" t="n">
        <x:f>IF(AND(C143=1,INDEX('Respondents'!$C$2:$C$121,MATCH(A143,'Respondents'!$A$2:$A$121,0))&gt;=INDEX('Strategies'!$C$2:$C$6,MATCH(B143,'Strategies'!$A$2:$A$6,0))),1,0)</x:f>
        <x:v>1</x:v>
      </x:c>
      <x:c r="E143" s="15" t="n">
        <x:f>INDEX('Respondents'!$B$2:$B$121,MATCH(A143,'Respondents'!$A$2:$A$121,0))</x:f>
        <x:v>1</x:v>
      </x:c>
    </x:row>
    <x:row r="144">
      <x:c r="A144" s="14" t="n">
        <x:v>29</x:v>
      </x:c>
      <x:c r="B144" s="14" t="n">
        <x:v>3</x:v>
      </x:c>
      <x:c r="C144" s="14" t="n">
        <x:v>1</x:v>
      </x:c>
      <x:c r="D144" s="15" t="n">
        <x:f>IF(AND(C144=1,INDEX('Respondents'!$C$2:$C$121,MATCH(A144,'Respondents'!$A$2:$A$121,0))&gt;=INDEX('Strategies'!$C$2:$C$6,MATCH(B144,'Strategies'!$A$2:$A$6,0))),1,0)</x:f>
        <x:v>0</x:v>
      </x:c>
      <x:c r="E144" s="15" t="n">
        <x:f>INDEX('Respondents'!$B$2:$B$121,MATCH(A144,'Respondents'!$A$2:$A$121,0))</x:f>
        <x:v>1</x:v>
      </x:c>
    </x:row>
    <x:row r="145">
      <x:c r="A145" s="14" t="n">
        <x:v>29</x:v>
      </x:c>
      <x:c r="B145" s="14" t="n">
        <x:v>4</x:v>
      </x:c>
      <x:c r="C145" s="14" t="n">
        <x:v>1</x:v>
      </x:c>
      <x:c r="D145" s="15" t="n">
        <x:f>IF(AND(C145=1,INDEX('Respondents'!$C$2:$C$121,MATCH(A145,'Respondents'!$A$2:$A$121,0))&gt;=INDEX('Strategies'!$C$2:$C$6,MATCH(B145,'Strategies'!$A$2:$A$6,0))),1,0)</x:f>
        <x:v>1</x:v>
      </x:c>
      <x:c r="E145" s="15" t="n">
        <x:f>INDEX('Respondents'!$B$2:$B$121,MATCH(A145,'Respondents'!$A$2:$A$121,0))</x:f>
        <x:v>1</x:v>
      </x:c>
    </x:row>
    <x:row r="146">
      <x:c r="A146" s="14" t="n">
        <x:v>29</x:v>
      </x:c>
      <x:c r="B146" s="14" t="n">
        <x:v>5</x:v>
      </x:c>
      <x:c r="C146" s="14" t="n">
        <x:v>1</x:v>
      </x:c>
      <x:c r="D146" s="15" t="n">
        <x:f>IF(AND(C146=1,INDEX('Respondents'!$C$2:$C$121,MATCH(A146,'Respondents'!$A$2:$A$121,0))&gt;=INDEX('Strategies'!$C$2:$C$6,MATCH(B146,'Strategies'!$A$2:$A$6,0))),1,0)</x:f>
        <x:v>0</x:v>
      </x:c>
      <x:c r="E146" s="15" t="n">
        <x:f>INDEX('Respondents'!$B$2:$B$121,MATCH(A146,'Respondents'!$A$2:$A$121,0))</x:f>
        <x:v>1</x:v>
      </x:c>
    </x:row>
    <x:row r="147">
      <x:c r="A147" s="14" t="n">
        <x:v>30</x:v>
      </x:c>
      <x:c r="B147" s="14" t="n">
        <x:v>1</x:v>
      </x:c>
      <x:c r="C147" s="14" t="n">
        <x:v>1</x:v>
      </x:c>
      <x:c r="D147" s="15" t="n">
        <x:f>IF(AND(C147=1,INDEX('Respondents'!$C$2:$C$121,MATCH(A147,'Respondents'!$A$2:$A$121,0))&gt;=INDEX('Strategies'!$C$2:$C$6,MATCH(B147,'Strategies'!$A$2:$A$6,0))),1,0)</x:f>
        <x:v>0</x:v>
      </x:c>
      <x:c r="E147" s="15" t="n">
        <x:f>INDEX('Respondents'!$B$2:$B$121,MATCH(A147,'Respondents'!$A$2:$A$121,0))</x:f>
        <x:v>1</x:v>
      </x:c>
    </x:row>
    <x:row r="148">
      <x:c r="A148" s="14" t="n">
        <x:v>30</x:v>
      </x:c>
      <x:c r="B148" s="14" t="n">
        <x:v>2</x:v>
      </x:c>
      <x:c r="C148" s="14" t="n">
        <x:v>1</x:v>
      </x:c>
      <x:c r="D148" s="15" t="n">
        <x:f>IF(AND(C148=1,INDEX('Respondents'!$C$2:$C$121,MATCH(A148,'Respondents'!$A$2:$A$121,0))&gt;=INDEX('Strategies'!$C$2:$C$6,MATCH(B148,'Strategies'!$A$2:$A$6,0))),1,0)</x:f>
        <x:v>1</x:v>
      </x:c>
      <x:c r="E148" s="15" t="n">
        <x:f>INDEX('Respondents'!$B$2:$B$121,MATCH(A148,'Respondents'!$A$2:$A$121,0))</x:f>
        <x:v>1</x:v>
      </x:c>
    </x:row>
    <x:row r="149">
      <x:c r="A149" s="14" t="n">
        <x:v>30</x:v>
      </x:c>
      <x:c r="B149" s="14" t="n">
        <x:v>3</x:v>
      </x:c>
      <x:c r="C149" s="14" t="n">
        <x:v>1</x:v>
      </x:c>
      <x:c r="D149" s="15" t="n">
        <x:f>IF(AND(C149=1,INDEX('Respondents'!$C$2:$C$121,MATCH(A149,'Respondents'!$A$2:$A$121,0))&gt;=INDEX('Strategies'!$C$2:$C$6,MATCH(B149,'Strategies'!$A$2:$A$6,0))),1,0)</x:f>
        <x:v>1</x:v>
      </x:c>
      <x:c r="E149" s="15" t="n">
        <x:f>INDEX('Respondents'!$B$2:$B$121,MATCH(A149,'Respondents'!$A$2:$A$121,0))</x:f>
        <x:v>1</x:v>
      </x:c>
    </x:row>
    <x:row r="150">
      <x:c r="A150" s="14" t="n">
        <x:v>30</x:v>
      </x:c>
      <x:c r="B150" s="14" t="n">
        <x:v>4</x:v>
      </x:c>
      <x:c r="C150" s="14" t="n">
        <x:v>1</x:v>
      </x:c>
      <x:c r="D150" s="15" t="n">
        <x:f>IF(AND(C150=1,INDEX('Respondents'!$C$2:$C$121,MATCH(A150,'Respondents'!$A$2:$A$121,0))&gt;=INDEX('Strategies'!$C$2:$C$6,MATCH(B150,'Strategies'!$A$2:$A$6,0))),1,0)</x:f>
        <x:v>1</x:v>
      </x:c>
      <x:c r="E150" s="15" t="n">
        <x:f>INDEX('Respondents'!$B$2:$B$121,MATCH(A150,'Respondents'!$A$2:$A$121,0))</x:f>
        <x:v>1</x:v>
      </x:c>
    </x:row>
    <x:row r="151">
      <x:c r="A151" s="14" t="n">
        <x:v>30</x:v>
      </x:c>
      <x:c r="B151" s="14" t="n">
        <x:v>5</x:v>
      </x:c>
      <x:c r="C151" s="14" t="n">
        <x:v>1</x:v>
      </x:c>
      <x:c r="D151" s="15" t="n">
        <x:f>IF(AND(C151=1,INDEX('Respondents'!$C$2:$C$121,MATCH(A151,'Respondents'!$A$2:$A$121,0))&gt;=INDEX('Strategies'!$C$2:$C$6,MATCH(B151,'Strategies'!$A$2:$A$6,0))),1,0)</x:f>
        <x:v>0</x:v>
      </x:c>
      <x:c r="E151" s="15" t="n">
        <x:f>INDEX('Respondents'!$B$2:$B$121,MATCH(A151,'Respondents'!$A$2:$A$121,0))</x:f>
        <x:v>1</x:v>
      </x:c>
    </x:row>
    <x:row r="152">
      <x:c r="A152" s="14" t="n">
        <x:v>31</x:v>
      </x:c>
      <x:c r="B152" s="14" t="n">
        <x:v>1</x:v>
      </x:c>
      <x:c r="C152" s="14" t="n">
        <x:v>0</x:v>
      </x:c>
      <x:c r="D152" s="15" t="n">
        <x:f>IF(AND(C152=1,INDEX('Respondents'!$C$2:$C$121,MATCH(A152,'Respondents'!$A$2:$A$121,0))&gt;=INDEX('Strategies'!$C$2:$C$6,MATCH(B152,'Strategies'!$A$2:$A$6,0))),1,0)</x:f>
        <x:v>0</x:v>
      </x:c>
      <x:c r="E152" s="15" t="n">
        <x:f>INDEX('Respondents'!$B$2:$B$121,MATCH(A152,'Respondents'!$A$2:$A$121,0))</x:f>
        <x:v>2</x:v>
      </x:c>
    </x:row>
    <x:row r="153">
      <x:c r="A153" s="14" t="n">
        <x:v>31</x:v>
      </x:c>
      <x:c r="B153" s="14" t="n">
        <x:v>2</x:v>
      </x:c>
      <x:c r="C153" s="14" t="n">
        <x:v>1</x:v>
      </x:c>
      <x:c r="D153" s="15" t="n">
        <x:f>IF(AND(C153=1,INDEX('Respondents'!$C$2:$C$121,MATCH(A153,'Respondents'!$A$2:$A$121,0))&gt;=INDEX('Strategies'!$C$2:$C$6,MATCH(B153,'Strategies'!$A$2:$A$6,0))),1,0)</x:f>
        <x:v>1</x:v>
      </x:c>
      <x:c r="E153" s="15" t="n">
        <x:f>INDEX('Respondents'!$B$2:$B$121,MATCH(A153,'Respondents'!$A$2:$A$121,0))</x:f>
        <x:v>2</x:v>
      </x:c>
    </x:row>
    <x:row r="154">
      <x:c r="A154" s="14" t="n">
        <x:v>31</x:v>
      </x:c>
      <x:c r="B154" s="14" t="n">
        <x:v>3</x:v>
      </x:c>
      <x:c r="C154" s="14" t="n">
        <x:v>1</x:v>
      </x:c>
      <x:c r="D154" s="15" t="n">
        <x:f>IF(AND(C154=1,INDEX('Respondents'!$C$2:$C$121,MATCH(A154,'Respondents'!$A$2:$A$121,0))&gt;=INDEX('Strategies'!$C$2:$C$6,MATCH(B154,'Strategies'!$A$2:$A$6,0))),1,0)</x:f>
        <x:v>0</x:v>
      </x:c>
      <x:c r="E154" s="15" t="n">
        <x:f>INDEX('Respondents'!$B$2:$B$121,MATCH(A154,'Respondents'!$A$2:$A$121,0))</x:f>
        <x:v>2</x:v>
      </x:c>
    </x:row>
    <x:row r="155">
      <x:c r="A155" s="14" t="n">
        <x:v>31</x:v>
      </x:c>
      <x:c r="B155" s="14" t="n">
        <x:v>4</x:v>
      </x:c>
      <x:c r="C155" s="14" t="n">
        <x:v>1</x:v>
      </x:c>
      <x:c r="D155" s="15" t="n">
        <x:f>IF(AND(C155=1,INDEX('Respondents'!$C$2:$C$121,MATCH(A155,'Respondents'!$A$2:$A$121,0))&gt;=INDEX('Strategies'!$C$2:$C$6,MATCH(B155,'Strategies'!$A$2:$A$6,0))),1,0)</x:f>
        <x:v>1</x:v>
      </x:c>
      <x:c r="E155" s="15" t="n">
        <x:f>INDEX('Respondents'!$B$2:$B$121,MATCH(A155,'Respondents'!$A$2:$A$121,0))</x:f>
        <x:v>2</x:v>
      </x:c>
    </x:row>
    <x:row r="156">
      <x:c r="A156" s="14" t="n">
        <x:v>31</x:v>
      </x:c>
      <x:c r="B156" s="14" t="n">
        <x:v>5</x:v>
      </x:c>
      <x:c r="C156" s="14" t="n">
        <x:v>1</x:v>
      </x:c>
      <x:c r="D156" s="15" t="n">
        <x:f>IF(AND(C156=1,INDEX('Respondents'!$C$2:$C$121,MATCH(A156,'Respondents'!$A$2:$A$121,0))&gt;=INDEX('Strategies'!$C$2:$C$6,MATCH(B156,'Strategies'!$A$2:$A$6,0))),1,0)</x:f>
        <x:v>0</x:v>
      </x:c>
      <x:c r="E156" s="15" t="n">
        <x:f>INDEX('Respondents'!$B$2:$B$121,MATCH(A156,'Respondents'!$A$2:$A$121,0))</x:f>
        <x:v>2</x:v>
      </x:c>
    </x:row>
    <x:row r="157">
      <x:c r="A157" s="14" t="n">
        <x:v>32</x:v>
      </x:c>
      <x:c r="B157" s="14" t="n">
        <x:v>1</x:v>
      </x:c>
      <x:c r="C157" s="14" t="n">
        <x:v>1</x:v>
      </x:c>
      <x:c r="D157" s="15" t="n">
        <x:f>IF(AND(C157=1,INDEX('Respondents'!$C$2:$C$121,MATCH(A157,'Respondents'!$A$2:$A$121,0))&gt;=INDEX('Strategies'!$C$2:$C$6,MATCH(B157,'Strategies'!$A$2:$A$6,0))),1,0)</x:f>
        <x:v>0</x:v>
      </x:c>
      <x:c r="E157" s="15" t="n">
        <x:f>INDEX('Respondents'!$B$2:$B$121,MATCH(A157,'Respondents'!$A$2:$A$121,0))</x:f>
        <x:v>2</x:v>
      </x:c>
    </x:row>
    <x:row r="158">
      <x:c r="A158" s="14" t="n">
        <x:v>32</x:v>
      </x:c>
      <x:c r="B158" s="14" t="n">
        <x:v>2</x:v>
      </x:c>
      <x:c r="C158" s="14" t="n">
        <x:v>1</x:v>
      </x:c>
      <x:c r="D158" s="15" t="n">
        <x:f>IF(AND(C158=1,INDEX('Respondents'!$C$2:$C$121,MATCH(A158,'Respondents'!$A$2:$A$121,0))&gt;=INDEX('Strategies'!$C$2:$C$6,MATCH(B158,'Strategies'!$A$2:$A$6,0))),1,0)</x:f>
        <x:v>0</x:v>
      </x:c>
      <x:c r="E158" s="15" t="n">
        <x:f>INDEX('Respondents'!$B$2:$B$121,MATCH(A158,'Respondents'!$A$2:$A$121,0))</x:f>
        <x:v>2</x:v>
      </x:c>
    </x:row>
    <x:row r="159">
      <x:c r="A159" s="14" t="n">
        <x:v>32</x:v>
      </x:c>
      <x:c r="B159" s="14" t="n">
        <x:v>3</x:v>
      </x:c>
      <x:c r="C159" s="14" t="n">
        <x:v>1</x:v>
      </x:c>
      <x:c r="D159" s="15" t="n">
        <x:f>IF(AND(C159=1,INDEX('Respondents'!$C$2:$C$121,MATCH(A159,'Respondents'!$A$2:$A$121,0))&gt;=INDEX('Strategies'!$C$2:$C$6,MATCH(B159,'Strategies'!$A$2:$A$6,0))),1,0)</x:f>
        <x:v>0</x:v>
      </x:c>
      <x:c r="E159" s="15" t="n">
        <x:f>INDEX('Respondents'!$B$2:$B$121,MATCH(A159,'Respondents'!$A$2:$A$121,0))</x:f>
        <x:v>2</x:v>
      </x:c>
    </x:row>
    <x:row r="160">
      <x:c r="A160" s="14" t="n">
        <x:v>32</x:v>
      </x:c>
      <x:c r="B160" s="14" t="n">
        <x:v>4</x:v>
      </x:c>
      <x:c r="C160" s="14" t="n">
        <x:v>0</x:v>
      </x:c>
      <x:c r="D160" s="15" t="n">
        <x:f>IF(AND(C160=1,INDEX('Respondents'!$C$2:$C$121,MATCH(A160,'Respondents'!$A$2:$A$121,0))&gt;=INDEX('Strategies'!$C$2:$C$6,MATCH(B160,'Strategies'!$A$2:$A$6,0))),1,0)</x:f>
        <x:v>0</x:v>
      </x:c>
      <x:c r="E160" s="15" t="n">
        <x:f>INDEX('Respondents'!$B$2:$B$121,MATCH(A160,'Respondents'!$A$2:$A$121,0))</x:f>
        <x:v>2</x:v>
      </x:c>
    </x:row>
    <x:row r="161">
      <x:c r="A161" s="14" t="n">
        <x:v>32</x:v>
      </x:c>
      <x:c r="B161" s="14" t="n">
        <x:v>5</x:v>
      </x:c>
      <x:c r="C161" s="14" t="n">
        <x:v>1</x:v>
      </x:c>
      <x:c r="D161" s="15" t="n">
        <x:f>IF(AND(C161=1,INDEX('Respondents'!$C$2:$C$121,MATCH(A161,'Respondents'!$A$2:$A$121,0))&gt;=INDEX('Strategies'!$C$2:$C$6,MATCH(B161,'Strategies'!$A$2:$A$6,0))),1,0)</x:f>
        <x:v>0</x:v>
      </x:c>
      <x:c r="E161" s="15" t="n">
        <x:f>INDEX('Respondents'!$B$2:$B$121,MATCH(A161,'Respondents'!$A$2:$A$121,0))</x:f>
        <x:v>2</x:v>
      </x:c>
    </x:row>
    <x:row r="162">
      <x:c r="A162" s="14" t="n">
        <x:v>33</x:v>
      </x:c>
      <x:c r="B162" s="14" t="n">
        <x:v>1</x:v>
      </x:c>
      <x:c r="C162" s="14" t="n">
        <x:v>0</x:v>
      </x:c>
      <x:c r="D162" s="15" t="n">
        <x:f>IF(AND(C162=1,INDEX('Respondents'!$C$2:$C$121,MATCH(A162,'Respondents'!$A$2:$A$121,0))&gt;=INDEX('Strategies'!$C$2:$C$6,MATCH(B162,'Strategies'!$A$2:$A$6,0))),1,0)</x:f>
        <x:v>0</x:v>
      </x:c>
      <x:c r="E162" s="15" t="n">
        <x:f>INDEX('Respondents'!$B$2:$B$121,MATCH(A162,'Respondents'!$A$2:$A$121,0))</x:f>
        <x:v>2</x:v>
      </x:c>
    </x:row>
    <x:row r="163">
      <x:c r="A163" s="14" t="n">
        <x:v>33</x:v>
      </x:c>
      <x:c r="B163" s="14" t="n">
        <x:v>2</x:v>
      </x:c>
      <x:c r="C163" s="14" t="n">
        <x:v>1</x:v>
      </x:c>
      <x:c r="D163" s="15" t="n">
        <x:f>IF(AND(C163=1,INDEX('Respondents'!$C$2:$C$121,MATCH(A163,'Respondents'!$A$2:$A$121,0))&gt;=INDEX('Strategies'!$C$2:$C$6,MATCH(B163,'Strategies'!$A$2:$A$6,0))),1,0)</x:f>
        <x:v>0</x:v>
      </x:c>
      <x:c r="E163" s="15" t="n">
        <x:f>INDEX('Respondents'!$B$2:$B$121,MATCH(A163,'Respondents'!$A$2:$A$121,0))</x:f>
        <x:v>2</x:v>
      </x:c>
    </x:row>
    <x:row r="164">
      <x:c r="A164" s="14" t="n">
        <x:v>33</x:v>
      </x:c>
      <x:c r="B164" s="14" t="n">
        <x:v>3</x:v>
      </x:c>
      <x:c r="C164" s="14" t="n">
        <x:v>1</x:v>
      </x:c>
      <x:c r="D164" s="15" t="n">
        <x:f>IF(AND(C164=1,INDEX('Respondents'!$C$2:$C$121,MATCH(A164,'Respondents'!$A$2:$A$121,0))&gt;=INDEX('Strategies'!$C$2:$C$6,MATCH(B164,'Strategies'!$A$2:$A$6,0))),1,0)</x:f>
        <x:v>0</x:v>
      </x:c>
      <x:c r="E164" s="15" t="n">
        <x:f>INDEX('Respondents'!$B$2:$B$121,MATCH(A164,'Respondents'!$A$2:$A$121,0))</x:f>
        <x:v>2</x:v>
      </x:c>
    </x:row>
    <x:row r="165">
      <x:c r="A165" s="14" t="n">
        <x:v>33</x:v>
      </x:c>
      <x:c r="B165" s="14" t="n">
        <x:v>4</x:v>
      </x:c>
      <x:c r="C165" s="14" t="n">
        <x:v>1</x:v>
      </x:c>
      <x:c r="D165" s="15" t="n">
        <x:f>IF(AND(C165=1,INDEX('Respondents'!$C$2:$C$121,MATCH(A165,'Respondents'!$A$2:$A$121,0))&gt;=INDEX('Strategies'!$C$2:$C$6,MATCH(B165,'Strategies'!$A$2:$A$6,0))),1,0)</x:f>
        <x:v>0</x:v>
      </x:c>
      <x:c r="E165" s="15" t="n">
        <x:f>INDEX('Respondents'!$B$2:$B$121,MATCH(A165,'Respondents'!$A$2:$A$121,0))</x:f>
        <x:v>2</x:v>
      </x:c>
    </x:row>
    <x:row r="166">
      <x:c r="A166" s="14" t="n">
        <x:v>33</x:v>
      </x:c>
      <x:c r="B166" s="14" t="n">
        <x:v>5</x:v>
      </x:c>
      <x:c r="C166" s="14" t="n">
        <x:v>1</x:v>
      </x:c>
      <x:c r="D166" s="15" t="n">
        <x:f>IF(AND(C166=1,INDEX('Respondents'!$C$2:$C$121,MATCH(A166,'Respondents'!$A$2:$A$121,0))&gt;=INDEX('Strategies'!$C$2:$C$6,MATCH(B166,'Strategies'!$A$2:$A$6,0))),1,0)</x:f>
        <x:v>0</x:v>
      </x:c>
      <x:c r="E166" s="15" t="n">
        <x:f>INDEX('Respondents'!$B$2:$B$121,MATCH(A166,'Respondents'!$A$2:$A$121,0))</x:f>
        <x:v>2</x:v>
      </x:c>
    </x:row>
    <x:row r="167">
      <x:c r="A167" s="14" t="n">
        <x:v>34</x:v>
      </x:c>
      <x:c r="B167" s="14" t="n">
        <x:v>1</x:v>
      </x:c>
      <x:c r="C167" s="14" t="n">
        <x:v>1</x:v>
      </x:c>
      <x:c r="D167" s="15" t="n">
        <x:f>IF(AND(C167=1,INDEX('Respondents'!$C$2:$C$121,MATCH(A167,'Respondents'!$A$2:$A$121,0))&gt;=INDEX('Strategies'!$C$2:$C$6,MATCH(B167,'Strategies'!$A$2:$A$6,0))),1,0)</x:f>
        <x:v>0</x:v>
      </x:c>
      <x:c r="E167" s="15" t="n">
        <x:f>INDEX('Respondents'!$B$2:$B$121,MATCH(A167,'Respondents'!$A$2:$A$121,0))</x:f>
        <x:v>2</x:v>
      </x:c>
    </x:row>
    <x:row r="168">
      <x:c r="A168" s="14" t="n">
        <x:v>34</x:v>
      </x:c>
      <x:c r="B168" s="14" t="n">
        <x:v>2</x:v>
      </x:c>
      <x:c r="C168" s="14" t="n">
        <x:v>1</x:v>
      </x:c>
      <x:c r="D168" s="15" t="n">
        <x:f>IF(AND(C168=1,INDEX('Respondents'!$C$2:$C$121,MATCH(A168,'Respondents'!$A$2:$A$121,0))&gt;=INDEX('Strategies'!$C$2:$C$6,MATCH(B168,'Strategies'!$A$2:$A$6,0))),1,0)</x:f>
        <x:v>0</x:v>
      </x:c>
      <x:c r="E168" s="15" t="n">
        <x:f>INDEX('Respondents'!$B$2:$B$121,MATCH(A168,'Respondents'!$A$2:$A$121,0))</x:f>
        <x:v>2</x:v>
      </x:c>
    </x:row>
    <x:row r="169">
      <x:c r="A169" s="14" t="n">
        <x:v>34</x:v>
      </x:c>
      <x:c r="B169" s="14" t="n">
        <x:v>3</x:v>
      </x:c>
      <x:c r="C169" s="14" t="n">
        <x:v>1</x:v>
      </x:c>
      <x:c r="D169" s="15" t="n">
        <x:f>IF(AND(C169=1,INDEX('Respondents'!$C$2:$C$121,MATCH(A169,'Respondents'!$A$2:$A$121,0))&gt;=INDEX('Strategies'!$C$2:$C$6,MATCH(B169,'Strategies'!$A$2:$A$6,0))),1,0)</x:f>
        <x:v>0</x:v>
      </x:c>
      <x:c r="E169" s="15" t="n">
        <x:f>INDEX('Respondents'!$B$2:$B$121,MATCH(A169,'Respondents'!$A$2:$A$121,0))</x:f>
        <x:v>2</x:v>
      </x:c>
    </x:row>
    <x:row r="170">
      <x:c r="A170" s="14" t="n">
        <x:v>34</x:v>
      </x:c>
      <x:c r="B170" s="14" t="n">
        <x:v>4</x:v>
      </x:c>
      <x:c r="C170" s="14" t="n">
        <x:v>1</x:v>
      </x:c>
      <x:c r="D170" s="15" t="n">
        <x:f>IF(AND(C170=1,INDEX('Respondents'!$C$2:$C$121,MATCH(A170,'Respondents'!$A$2:$A$121,0))&gt;=INDEX('Strategies'!$C$2:$C$6,MATCH(B170,'Strategies'!$A$2:$A$6,0))),1,0)</x:f>
        <x:v>0</x:v>
      </x:c>
      <x:c r="E170" s="15" t="n">
        <x:f>INDEX('Respondents'!$B$2:$B$121,MATCH(A170,'Respondents'!$A$2:$A$121,0))</x:f>
        <x:v>2</x:v>
      </x:c>
    </x:row>
    <x:row r="171">
      <x:c r="A171" s="14" t="n">
        <x:v>34</x:v>
      </x:c>
      <x:c r="B171" s="14" t="n">
        <x:v>5</x:v>
      </x:c>
      <x:c r="C171" s="14" t="n">
        <x:v>1</x:v>
      </x:c>
      <x:c r="D171" s="15" t="n">
        <x:f>IF(AND(C171=1,INDEX('Respondents'!$C$2:$C$121,MATCH(A171,'Respondents'!$A$2:$A$121,0))&gt;=INDEX('Strategies'!$C$2:$C$6,MATCH(B171,'Strategies'!$A$2:$A$6,0))),1,0)</x:f>
        <x:v>0</x:v>
      </x:c>
      <x:c r="E171" s="15" t="n">
        <x:f>INDEX('Respondents'!$B$2:$B$121,MATCH(A171,'Respondents'!$A$2:$A$121,0))</x:f>
        <x:v>2</x:v>
      </x:c>
    </x:row>
    <x:row r="172">
      <x:c r="A172" s="14" t="n">
        <x:v>35</x:v>
      </x:c>
      <x:c r="B172" s="14" t="n">
        <x:v>1</x:v>
      </x:c>
      <x:c r="C172" s="14" t="n">
        <x:v>0</x:v>
      </x:c>
      <x:c r="D172" s="15" t="n">
        <x:f>IF(AND(C172=1,INDEX('Respondents'!$C$2:$C$121,MATCH(A172,'Respondents'!$A$2:$A$121,0))&gt;=INDEX('Strategies'!$C$2:$C$6,MATCH(B172,'Strategies'!$A$2:$A$6,0))),1,0)</x:f>
        <x:v>0</x:v>
      </x:c>
      <x:c r="E172" s="15" t="n">
        <x:f>INDEX('Respondents'!$B$2:$B$121,MATCH(A172,'Respondents'!$A$2:$A$121,0))</x:f>
        <x:v>2</x:v>
      </x:c>
    </x:row>
    <x:row r="173">
      <x:c r="A173" s="14" t="n">
        <x:v>35</x:v>
      </x:c>
      <x:c r="B173" s="14" t="n">
        <x:v>2</x:v>
      </x:c>
      <x:c r="C173" s="14" t="n">
        <x:v>1</x:v>
      </x:c>
      <x:c r="D173" s="15" t="n">
        <x:f>IF(AND(C173=1,INDEX('Respondents'!$C$2:$C$121,MATCH(A173,'Respondents'!$A$2:$A$121,0))&gt;=INDEX('Strategies'!$C$2:$C$6,MATCH(B173,'Strategies'!$A$2:$A$6,0))),1,0)</x:f>
        <x:v>1</x:v>
      </x:c>
      <x:c r="E173" s="15" t="n">
        <x:f>INDEX('Respondents'!$B$2:$B$121,MATCH(A173,'Respondents'!$A$2:$A$121,0))</x:f>
        <x:v>2</x:v>
      </x:c>
    </x:row>
    <x:row r="174">
      <x:c r="A174" s="14" t="n">
        <x:v>35</x:v>
      </x:c>
      <x:c r="B174" s="14" t="n">
        <x:v>3</x:v>
      </x:c>
      <x:c r="C174" s="14" t="n">
        <x:v>1</x:v>
      </x:c>
      <x:c r="D174" s="15" t="n">
        <x:f>IF(AND(C174=1,INDEX('Respondents'!$C$2:$C$121,MATCH(A174,'Respondents'!$A$2:$A$121,0))&gt;=INDEX('Strategies'!$C$2:$C$6,MATCH(B174,'Strategies'!$A$2:$A$6,0))),1,0)</x:f>
        <x:v>0</x:v>
      </x:c>
      <x:c r="E174" s="15" t="n">
        <x:f>INDEX('Respondents'!$B$2:$B$121,MATCH(A174,'Respondents'!$A$2:$A$121,0))</x:f>
        <x:v>2</x:v>
      </x:c>
    </x:row>
    <x:row r="175">
      <x:c r="A175" s="14" t="n">
        <x:v>35</x:v>
      </x:c>
      <x:c r="B175" s="14" t="n">
        <x:v>4</x:v>
      </x:c>
      <x:c r="C175" s="14" t="n">
        <x:v>1</x:v>
      </x:c>
      <x:c r="D175" s="15" t="n">
        <x:f>IF(AND(C175=1,INDEX('Respondents'!$C$2:$C$121,MATCH(A175,'Respondents'!$A$2:$A$121,0))&gt;=INDEX('Strategies'!$C$2:$C$6,MATCH(B175,'Strategies'!$A$2:$A$6,0))),1,0)</x:f>
        <x:v>1</x:v>
      </x:c>
      <x:c r="E175" s="15" t="n">
        <x:f>INDEX('Respondents'!$B$2:$B$121,MATCH(A175,'Respondents'!$A$2:$A$121,0))</x:f>
        <x:v>2</x:v>
      </x:c>
    </x:row>
    <x:row r="176">
      <x:c r="A176" s="14" t="n">
        <x:v>35</x:v>
      </x:c>
      <x:c r="B176" s="14" t="n">
        <x:v>5</x:v>
      </x:c>
      <x:c r="C176" s="14" t="n">
        <x:v>0</x:v>
      </x:c>
      <x:c r="D176" s="15" t="n">
        <x:f>IF(AND(C176=1,INDEX('Respondents'!$C$2:$C$121,MATCH(A176,'Respondents'!$A$2:$A$121,0))&gt;=INDEX('Strategies'!$C$2:$C$6,MATCH(B176,'Strategies'!$A$2:$A$6,0))),1,0)</x:f>
        <x:v>0</x:v>
      </x:c>
      <x:c r="E176" s="15" t="n">
        <x:f>INDEX('Respondents'!$B$2:$B$121,MATCH(A176,'Respondents'!$A$2:$A$121,0))</x:f>
        <x:v>2</x:v>
      </x:c>
    </x:row>
    <x:row r="177">
      <x:c r="A177" s="14" t="n">
        <x:v>36</x:v>
      </x:c>
      <x:c r="B177" s="14" t="n">
        <x:v>1</x:v>
      </x:c>
      <x:c r="C177" s="14" t="n">
        <x:v>0</x:v>
      </x:c>
      <x:c r="D177" s="15" t="n">
        <x:f>IF(AND(C177=1,INDEX('Respondents'!$C$2:$C$121,MATCH(A177,'Respondents'!$A$2:$A$121,0))&gt;=INDEX('Strategies'!$C$2:$C$6,MATCH(B177,'Strategies'!$A$2:$A$6,0))),1,0)</x:f>
        <x:v>0</x:v>
      </x:c>
      <x:c r="E177" s="15" t="n">
        <x:f>INDEX('Respondents'!$B$2:$B$121,MATCH(A177,'Respondents'!$A$2:$A$121,0))</x:f>
        <x:v>2</x:v>
      </x:c>
    </x:row>
    <x:row r="178">
      <x:c r="A178" s="14" t="n">
        <x:v>36</x:v>
      </x:c>
      <x:c r="B178" s="14" t="n">
        <x:v>2</x:v>
      </x:c>
      <x:c r="C178" s="14" t="n">
        <x:v>1</x:v>
      </x:c>
      <x:c r="D178" s="15" t="n">
        <x:f>IF(AND(C178=1,INDEX('Respondents'!$C$2:$C$121,MATCH(A178,'Respondents'!$A$2:$A$121,0))&gt;=INDEX('Strategies'!$C$2:$C$6,MATCH(B178,'Strategies'!$A$2:$A$6,0))),1,0)</x:f>
        <x:v>0</x:v>
      </x:c>
      <x:c r="E178" s="15" t="n">
        <x:f>INDEX('Respondents'!$B$2:$B$121,MATCH(A178,'Respondents'!$A$2:$A$121,0))</x:f>
        <x:v>2</x:v>
      </x:c>
    </x:row>
    <x:row r="179">
      <x:c r="A179" s="14" t="n">
        <x:v>36</x:v>
      </x:c>
      <x:c r="B179" s="14" t="n">
        <x:v>3</x:v>
      </x:c>
      <x:c r="C179" s="14" t="n">
        <x:v>1</x:v>
      </x:c>
      <x:c r="D179" s="15" t="n">
        <x:f>IF(AND(C179=1,INDEX('Respondents'!$C$2:$C$121,MATCH(A179,'Respondents'!$A$2:$A$121,0))&gt;=INDEX('Strategies'!$C$2:$C$6,MATCH(B179,'Strategies'!$A$2:$A$6,0))),1,0)</x:f>
        <x:v>0</x:v>
      </x:c>
      <x:c r="E179" s="15" t="n">
        <x:f>INDEX('Respondents'!$B$2:$B$121,MATCH(A179,'Respondents'!$A$2:$A$121,0))</x:f>
        <x:v>2</x:v>
      </x:c>
    </x:row>
    <x:row r="180">
      <x:c r="A180" s="14" t="n">
        <x:v>36</x:v>
      </x:c>
      <x:c r="B180" s="14" t="n">
        <x:v>4</x:v>
      </x:c>
      <x:c r="C180" s="14" t="n">
        <x:v>0</x:v>
      </x:c>
      <x:c r="D180" s="15" t="n">
        <x:f>IF(AND(C180=1,INDEX('Respondents'!$C$2:$C$121,MATCH(A180,'Respondents'!$A$2:$A$121,0))&gt;=INDEX('Strategies'!$C$2:$C$6,MATCH(B180,'Strategies'!$A$2:$A$6,0))),1,0)</x:f>
        <x:v>0</x:v>
      </x:c>
      <x:c r="E180" s="15" t="n">
        <x:f>INDEX('Respondents'!$B$2:$B$121,MATCH(A180,'Respondents'!$A$2:$A$121,0))</x:f>
        <x:v>2</x:v>
      </x:c>
    </x:row>
    <x:row r="181">
      <x:c r="A181" s="14" t="n">
        <x:v>36</x:v>
      </x:c>
      <x:c r="B181" s="14" t="n">
        <x:v>5</x:v>
      </x:c>
      <x:c r="C181" s="14" t="n">
        <x:v>1</x:v>
      </x:c>
      <x:c r="D181" s="15" t="n">
        <x:f>IF(AND(C181=1,INDEX('Respondents'!$C$2:$C$121,MATCH(A181,'Respondents'!$A$2:$A$121,0))&gt;=INDEX('Strategies'!$C$2:$C$6,MATCH(B181,'Strategies'!$A$2:$A$6,0))),1,0)</x:f>
        <x:v>0</x:v>
      </x:c>
      <x:c r="E181" s="15" t="n">
        <x:f>INDEX('Respondents'!$B$2:$B$121,MATCH(A181,'Respondents'!$A$2:$A$121,0))</x:f>
        <x:v>2</x:v>
      </x:c>
    </x:row>
    <x:row r="182">
      <x:c r="A182" s="14" t="n">
        <x:v>37</x:v>
      </x:c>
      <x:c r="B182" s="14" t="n">
        <x:v>1</x:v>
      </x:c>
      <x:c r="C182" s="14" t="n">
        <x:v>1</x:v>
      </x:c>
      <x:c r="D182" s="15" t="n">
        <x:f>IF(AND(C182=1,INDEX('Respondents'!$C$2:$C$121,MATCH(A182,'Respondents'!$A$2:$A$121,0))&gt;=INDEX('Strategies'!$C$2:$C$6,MATCH(B182,'Strategies'!$A$2:$A$6,0))),1,0)</x:f>
        <x:v>0</x:v>
      </x:c>
      <x:c r="E182" s="15" t="n">
        <x:f>INDEX('Respondents'!$B$2:$B$121,MATCH(A182,'Respondents'!$A$2:$A$121,0))</x:f>
        <x:v>2</x:v>
      </x:c>
    </x:row>
    <x:row r="183">
      <x:c r="A183" s="14" t="n">
        <x:v>37</x:v>
      </x:c>
      <x:c r="B183" s="14" t="n">
        <x:v>2</x:v>
      </x:c>
      <x:c r="C183" s="14" t="n">
        <x:v>1</x:v>
      </x:c>
      <x:c r="D183" s="15" t="n">
        <x:f>IF(AND(C183=1,INDEX('Respondents'!$C$2:$C$121,MATCH(A183,'Respondents'!$A$2:$A$121,0))&gt;=INDEX('Strategies'!$C$2:$C$6,MATCH(B183,'Strategies'!$A$2:$A$6,0))),1,0)</x:f>
        <x:v>1</x:v>
      </x:c>
      <x:c r="E183" s="15" t="n">
        <x:f>INDEX('Respondents'!$B$2:$B$121,MATCH(A183,'Respondents'!$A$2:$A$121,0))</x:f>
        <x:v>2</x:v>
      </x:c>
    </x:row>
    <x:row r="184">
      <x:c r="A184" s="14" t="n">
        <x:v>37</x:v>
      </x:c>
      <x:c r="B184" s="14" t="n">
        <x:v>3</x:v>
      </x:c>
      <x:c r="C184" s="14" t="n">
        <x:v>1</x:v>
      </x:c>
      <x:c r="D184" s="15" t="n">
        <x:f>IF(AND(C184=1,INDEX('Respondents'!$C$2:$C$121,MATCH(A184,'Respondents'!$A$2:$A$121,0))&gt;=INDEX('Strategies'!$C$2:$C$6,MATCH(B184,'Strategies'!$A$2:$A$6,0))),1,0)</x:f>
        <x:v>0</x:v>
      </x:c>
      <x:c r="E184" s="15" t="n">
        <x:f>INDEX('Respondents'!$B$2:$B$121,MATCH(A184,'Respondents'!$A$2:$A$121,0))</x:f>
        <x:v>2</x:v>
      </x:c>
    </x:row>
    <x:row r="185">
      <x:c r="A185" s="14" t="n">
        <x:v>37</x:v>
      </x:c>
      <x:c r="B185" s="14" t="n">
        <x:v>4</x:v>
      </x:c>
      <x:c r="C185" s="14" t="n">
        <x:v>1</x:v>
      </x:c>
      <x:c r="D185" s="15" t="n">
        <x:f>IF(AND(C185=1,INDEX('Respondents'!$C$2:$C$121,MATCH(A185,'Respondents'!$A$2:$A$121,0))&gt;=INDEX('Strategies'!$C$2:$C$6,MATCH(B185,'Strategies'!$A$2:$A$6,0))),1,0)</x:f>
        <x:v>1</x:v>
      </x:c>
      <x:c r="E185" s="15" t="n">
        <x:f>INDEX('Respondents'!$B$2:$B$121,MATCH(A185,'Respondents'!$A$2:$A$121,0))</x:f>
        <x:v>2</x:v>
      </x:c>
    </x:row>
    <x:row r="186">
      <x:c r="A186" s="14" t="n">
        <x:v>37</x:v>
      </x:c>
      <x:c r="B186" s="14" t="n">
        <x:v>5</x:v>
      </x:c>
      <x:c r="C186" s="14" t="n">
        <x:v>1</x:v>
      </x:c>
      <x:c r="D186" s="15" t="n">
        <x:f>IF(AND(C186=1,INDEX('Respondents'!$C$2:$C$121,MATCH(A186,'Respondents'!$A$2:$A$121,0))&gt;=INDEX('Strategies'!$C$2:$C$6,MATCH(B186,'Strategies'!$A$2:$A$6,0))),1,0)</x:f>
        <x:v>0</x:v>
      </x:c>
      <x:c r="E186" s="15" t="n">
        <x:f>INDEX('Respondents'!$B$2:$B$121,MATCH(A186,'Respondents'!$A$2:$A$121,0))</x:f>
        <x:v>2</x:v>
      </x:c>
    </x:row>
    <x:row r="187">
      <x:c r="A187" s="14" t="n">
        <x:v>38</x:v>
      </x:c>
      <x:c r="B187" s="14" t="n">
        <x:v>1</x:v>
      </x:c>
      <x:c r="C187" s="14" t="n">
        <x:v>1</x:v>
      </x:c>
      <x:c r="D187" s="15" t="n">
        <x:f>IF(AND(C187=1,INDEX('Respondents'!$C$2:$C$121,MATCH(A187,'Respondents'!$A$2:$A$121,0))&gt;=INDEX('Strategies'!$C$2:$C$6,MATCH(B187,'Strategies'!$A$2:$A$6,0))),1,0)</x:f>
        <x:v>0</x:v>
      </x:c>
      <x:c r="E187" s="15" t="n">
        <x:f>INDEX('Respondents'!$B$2:$B$121,MATCH(A187,'Respondents'!$A$2:$A$121,0))</x:f>
        <x:v>2</x:v>
      </x:c>
    </x:row>
    <x:row r="188">
      <x:c r="A188" s="14" t="n">
        <x:v>38</x:v>
      </x:c>
      <x:c r="B188" s="14" t="n">
        <x:v>2</x:v>
      </x:c>
      <x:c r="C188" s="14" t="n">
        <x:v>1</x:v>
      </x:c>
      <x:c r="D188" s="15" t="n">
        <x:f>IF(AND(C188=1,INDEX('Respondents'!$C$2:$C$121,MATCH(A188,'Respondents'!$A$2:$A$121,0))&gt;=INDEX('Strategies'!$C$2:$C$6,MATCH(B188,'Strategies'!$A$2:$A$6,0))),1,0)</x:f>
        <x:v>1</x:v>
      </x:c>
      <x:c r="E188" s="15" t="n">
        <x:f>INDEX('Respondents'!$B$2:$B$121,MATCH(A188,'Respondents'!$A$2:$A$121,0))</x:f>
        <x:v>2</x:v>
      </x:c>
    </x:row>
    <x:row r="189">
      <x:c r="A189" s="14" t="n">
        <x:v>38</x:v>
      </x:c>
      <x:c r="B189" s="14" t="n">
        <x:v>3</x:v>
      </x:c>
      <x:c r="C189" s="14" t="n">
        <x:v>1</x:v>
      </x:c>
      <x:c r="D189" s="15" t="n">
        <x:f>IF(AND(C189=1,INDEX('Respondents'!$C$2:$C$121,MATCH(A189,'Respondents'!$A$2:$A$121,0))&gt;=INDEX('Strategies'!$C$2:$C$6,MATCH(B189,'Strategies'!$A$2:$A$6,0))),1,0)</x:f>
        <x:v>0</x:v>
      </x:c>
      <x:c r="E189" s="15" t="n">
        <x:f>INDEX('Respondents'!$B$2:$B$121,MATCH(A189,'Respondents'!$A$2:$A$121,0))</x:f>
        <x:v>2</x:v>
      </x:c>
    </x:row>
    <x:row r="190">
      <x:c r="A190" s="14" t="n">
        <x:v>38</x:v>
      </x:c>
      <x:c r="B190" s="14" t="n">
        <x:v>4</x:v>
      </x:c>
      <x:c r="C190" s="14" t="n">
        <x:v>1</x:v>
      </x:c>
      <x:c r="D190" s="15" t="n">
        <x:f>IF(AND(C190=1,INDEX('Respondents'!$C$2:$C$121,MATCH(A190,'Respondents'!$A$2:$A$121,0))&gt;=INDEX('Strategies'!$C$2:$C$6,MATCH(B190,'Strategies'!$A$2:$A$6,0))),1,0)</x:f>
        <x:v>1</x:v>
      </x:c>
      <x:c r="E190" s="15" t="n">
        <x:f>INDEX('Respondents'!$B$2:$B$121,MATCH(A190,'Respondents'!$A$2:$A$121,0))</x:f>
        <x:v>2</x:v>
      </x:c>
    </x:row>
    <x:row r="191">
      <x:c r="A191" s="14" t="n">
        <x:v>38</x:v>
      </x:c>
      <x:c r="B191" s="14" t="n">
        <x:v>5</x:v>
      </x:c>
      <x:c r="C191" s="14" t="n">
        <x:v>1</x:v>
      </x:c>
      <x:c r="D191" s="15" t="n">
        <x:f>IF(AND(C191=1,INDEX('Respondents'!$C$2:$C$121,MATCH(A191,'Respondents'!$A$2:$A$121,0))&gt;=INDEX('Strategies'!$C$2:$C$6,MATCH(B191,'Strategies'!$A$2:$A$6,0))),1,0)</x:f>
        <x:v>0</x:v>
      </x:c>
      <x:c r="E191" s="15" t="n">
        <x:f>INDEX('Respondents'!$B$2:$B$121,MATCH(A191,'Respondents'!$A$2:$A$121,0))</x:f>
        <x:v>2</x:v>
      </x:c>
    </x:row>
    <x:row r="192">
      <x:c r="A192" s="14" t="n">
        <x:v>39</x:v>
      </x:c>
      <x:c r="B192" s="14" t="n">
        <x:v>1</x:v>
      </x:c>
      <x:c r="C192" s="14" t="n">
        <x:v>1</x:v>
      </x:c>
      <x:c r="D192" s="15" t="n">
        <x:f>IF(AND(C192=1,INDEX('Respondents'!$C$2:$C$121,MATCH(A192,'Respondents'!$A$2:$A$121,0))&gt;=INDEX('Strategies'!$C$2:$C$6,MATCH(B192,'Strategies'!$A$2:$A$6,0))),1,0)</x:f>
        <x:v>0</x:v>
      </x:c>
      <x:c r="E192" s="15" t="n">
        <x:f>INDEX('Respondents'!$B$2:$B$121,MATCH(A192,'Respondents'!$A$2:$A$121,0))</x:f>
        <x:v>2</x:v>
      </x:c>
    </x:row>
    <x:row r="193">
      <x:c r="A193" s="14" t="n">
        <x:v>39</x:v>
      </x:c>
      <x:c r="B193" s="14" t="n">
        <x:v>2</x:v>
      </x:c>
      <x:c r="C193" s="14" t="n">
        <x:v>1</x:v>
      </x:c>
      <x:c r="D193" s="15" t="n">
        <x:f>IF(AND(C193=1,INDEX('Respondents'!$C$2:$C$121,MATCH(A193,'Respondents'!$A$2:$A$121,0))&gt;=INDEX('Strategies'!$C$2:$C$6,MATCH(B193,'Strategies'!$A$2:$A$6,0))),1,0)</x:f>
        <x:v>0</x:v>
      </x:c>
      <x:c r="E193" s="15" t="n">
        <x:f>INDEX('Respondents'!$B$2:$B$121,MATCH(A193,'Respondents'!$A$2:$A$121,0))</x:f>
        <x:v>2</x:v>
      </x:c>
    </x:row>
    <x:row r="194">
      <x:c r="A194" s="14" t="n">
        <x:v>39</x:v>
      </x:c>
      <x:c r="B194" s="14" t="n">
        <x:v>3</x:v>
      </x:c>
      <x:c r="C194" s="14" t="n">
        <x:v>0</x:v>
      </x:c>
      <x:c r="D194" s="15" t="n">
        <x:f>IF(AND(C194=1,INDEX('Respondents'!$C$2:$C$121,MATCH(A194,'Respondents'!$A$2:$A$121,0))&gt;=INDEX('Strategies'!$C$2:$C$6,MATCH(B194,'Strategies'!$A$2:$A$6,0))),1,0)</x:f>
        <x:v>0</x:v>
      </x:c>
      <x:c r="E194" s="15" t="n">
        <x:f>INDEX('Respondents'!$B$2:$B$121,MATCH(A194,'Respondents'!$A$2:$A$121,0))</x:f>
        <x:v>2</x:v>
      </x:c>
    </x:row>
    <x:row r="195">
      <x:c r="A195" s="14" t="n">
        <x:v>39</x:v>
      </x:c>
      <x:c r="B195" s="14" t="n">
        <x:v>4</x:v>
      </x:c>
      <x:c r="C195" s="14" t="n">
        <x:v>1</x:v>
      </x:c>
      <x:c r="D195" s="15" t="n">
        <x:f>IF(AND(C195=1,INDEX('Respondents'!$C$2:$C$121,MATCH(A195,'Respondents'!$A$2:$A$121,0))&gt;=INDEX('Strategies'!$C$2:$C$6,MATCH(B195,'Strategies'!$A$2:$A$6,0))),1,0)</x:f>
        <x:v>0</x:v>
      </x:c>
      <x:c r="E195" s="15" t="n">
        <x:f>INDEX('Respondents'!$B$2:$B$121,MATCH(A195,'Respondents'!$A$2:$A$121,0))</x:f>
        <x:v>2</x:v>
      </x:c>
    </x:row>
    <x:row r="196">
      <x:c r="A196" s="14" t="n">
        <x:v>39</x:v>
      </x:c>
      <x:c r="B196" s="14" t="n">
        <x:v>5</x:v>
      </x:c>
      <x:c r="C196" s="14" t="n">
        <x:v>1</x:v>
      </x:c>
      <x:c r="D196" s="15" t="n">
        <x:f>IF(AND(C196=1,INDEX('Respondents'!$C$2:$C$121,MATCH(A196,'Respondents'!$A$2:$A$121,0))&gt;=INDEX('Strategies'!$C$2:$C$6,MATCH(B196,'Strategies'!$A$2:$A$6,0))),1,0)</x:f>
        <x:v>0</x:v>
      </x:c>
      <x:c r="E196" s="15" t="n">
        <x:f>INDEX('Respondents'!$B$2:$B$121,MATCH(A196,'Respondents'!$A$2:$A$121,0))</x:f>
        <x:v>2</x:v>
      </x:c>
    </x:row>
    <x:row r="197">
      <x:c r="A197" s="14" t="n">
        <x:v>40</x:v>
      </x:c>
      <x:c r="B197" s="14" t="n">
        <x:v>1</x:v>
      </x:c>
      <x:c r="C197" s="14" t="n">
        <x:v>1</x:v>
      </x:c>
      <x:c r="D197" s="15" t="n">
        <x:f>IF(AND(C197=1,INDEX('Respondents'!$C$2:$C$121,MATCH(A197,'Respondents'!$A$2:$A$121,0))&gt;=INDEX('Strategies'!$C$2:$C$6,MATCH(B197,'Strategies'!$A$2:$A$6,0))),1,0)</x:f>
        <x:v>0</x:v>
      </x:c>
      <x:c r="E197" s="15" t="n">
        <x:f>INDEX('Respondents'!$B$2:$B$121,MATCH(A197,'Respondents'!$A$2:$A$121,0))</x:f>
        <x:v>2</x:v>
      </x:c>
    </x:row>
    <x:row r="198">
      <x:c r="A198" s="14" t="n">
        <x:v>40</x:v>
      </x:c>
      <x:c r="B198" s="14" t="n">
        <x:v>2</x:v>
      </x:c>
      <x:c r="C198" s="14" t="n">
        <x:v>1</x:v>
      </x:c>
      <x:c r="D198" s="15" t="n">
        <x:f>IF(AND(C198=1,INDEX('Respondents'!$C$2:$C$121,MATCH(A198,'Respondents'!$A$2:$A$121,0))&gt;=INDEX('Strategies'!$C$2:$C$6,MATCH(B198,'Strategies'!$A$2:$A$6,0))),1,0)</x:f>
        <x:v>1</x:v>
      </x:c>
      <x:c r="E198" s="15" t="n">
        <x:f>INDEX('Respondents'!$B$2:$B$121,MATCH(A198,'Respondents'!$A$2:$A$121,0))</x:f>
        <x:v>2</x:v>
      </x:c>
    </x:row>
    <x:row r="199">
      <x:c r="A199" s="14" t="n">
        <x:v>40</x:v>
      </x:c>
      <x:c r="B199" s="14" t="n">
        <x:v>3</x:v>
      </x:c>
      <x:c r="C199" s="14" t="n">
        <x:v>0</x:v>
      </x:c>
      <x:c r="D199" s="15" t="n">
        <x:f>IF(AND(C199=1,INDEX('Respondents'!$C$2:$C$121,MATCH(A199,'Respondents'!$A$2:$A$121,0))&gt;=INDEX('Strategies'!$C$2:$C$6,MATCH(B199,'Strategies'!$A$2:$A$6,0))),1,0)</x:f>
        <x:v>0</x:v>
      </x:c>
      <x:c r="E199" s="15" t="n">
        <x:f>INDEX('Respondents'!$B$2:$B$121,MATCH(A199,'Respondents'!$A$2:$A$121,0))</x:f>
        <x:v>2</x:v>
      </x:c>
    </x:row>
    <x:row r="200">
      <x:c r="A200" s="14" t="n">
        <x:v>40</x:v>
      </x:c>
      <x:c r="B200" s="14" t="n">
        <x:v>4</x:v>
      </x:c>
      <x:c r="C200" s="14" t="n">
        <x:v>1</x:v>
      </x:c>
      <x:c r="D200" s="15" t="n">
        <x:f>IF(AND(C200=1,INDEX('Respondents'!$C$2:$C$121,MATCH(A200,'Respondents'!$A$2:$A$121,0))&gt;=INDEX('Strategies'!$C$2:$C$6,MATCH(B200,'Strategies'!$A$2:$A$6,0))),1,0)</x:f>
        <x:v>1</x:v>
      </x:c>
      <x:c r="E200" s="15" t="n">
        <x:f>INDEX('Respondents'!$B$2:$B$121,MATCH(A200,'Respondents'!$A$2:$A$121,0))</x:f>
        <x:v>2</x:v>
      </x:c>
    </x:row>
    <x:row r="201">
      <x:c r="A201" s="14" t="n">
        <x:v>40</x:v>
      </x:c>
      <x:c r="B201" s="14" t="n">
        <x:v>5</x:v>
      </x:c>
      <x:c r="C201" s="14" t="n">
        <x:v>0</x:v>
      </x:c>
      <x:c r="D201" s="15" t="n">
        <x:f>IF(AND(C201=1,INDEX('Respondents'!$C$2:$C$121,MATCH(A201,'Respondents'!$A$2:$A$121,0))&gt;=INDEX('Strategies'!$C$2:$C$6,MATCH(B201,'Strategies'!$A$2:$A$6,0))),1,0)</x:f>
        <x:v>0</x:v>
      </x:c>
      <x:c r="E201" s="15" t="n">
        <x:f>INDEX('Respondents'!$B$2:$B$121,MATCH(A201,'Respondents'!$A$2:$A$121,0))</x:f>
        <x:v>2</x:v>
      </x:c>
    </x:row>
    <x:row r="202">
      <x:c r="A202" s="14" t="n">
        <x:v>41</x:v>
      </x:c>
      <x:c r="B202" s="14" t="n">
        <x:v>1</x:v>
      </x:c>
      <x:c r="C202" s="14" t="n">
        <x:v>0</x:v>
      </x:c>
      <x:c r="D202" s="15" t="n">
        <x:f>IF(AND(C202=1,INDEX('Respondents'!$C$2:$C$121,MATCH(A202,'Respondents'!$A$2:$A$121,0))&gt;=INDEX('Strategies'!$C$2:$C$6,MATCH(B202,'Strategies'!$A$2:$A$6,0))),1,0)</x:f>
        <x:v>0</x:v>
      </x:c>
      <x:c r="E202" s="15" t="n">
        <x:f>INDEX('Respondents'!$B$2:$B$121,MATCH(A202,'Respondents'!$A$2:$A$121,0))</x:f>
        <x:v>2</x:v>
      </x:c>
    </x:row>
    <x:row r="203">
      <x:c r="A203" s="14" t="n">
        <x:v>41</x:v>
      </x:c>
      <x:c r="B203" s="14" t="n">
        <x:v>2</x:v>
      </x:c>
      <x:c r="C203" s="14" t="n">
        <x:v>1</x:v>
      </x:c>
      <x:c r="D203" s="15" t="n">
        <x:f>IF(AND(C203=1,INDEX('Respondents'!$C$2:$C$121,MATCH(A203,'Respondents'!$A$2:$A$121,0))&gt;=INDEX('Strategies'!$C$2:$C$6,MATCH(B203,'Strategies'!$A$2:$A$6,0))),1,0)</x:f>
        <x:v>1</x:v>
      </x:c>
      <x:c r="E203" s="15" t="n">
        <x:f>INDEX('Respondents'!$B$2:$B$121,MATCH(A203,'Respondents'!$A$2:$A$121,0))</x:f>
        <x:v>2</x:v>
      </x:c>
    </x:row>
    <x:row r="204">
      <x:c r="A204" s="14" t="n">
        <x:v>41</x:v>
      </x:c>
      <x:c r="B204" s="14" t="n">
        <x:v>3</x:v>
      </x:c>
      <x:c r="C204" s="14" t="n">
        <x:v>1</x:v>
      </x:c>
      <x:c r="D204" s="15" t="n">
        <x:f>IF(AND(C204=1,INDEX('Respondents'!$C$2:$C$121,MATCH(A204,'Respondents'!$A$2:$A$121,0))&gt;=INDEX('Strategies'!$C$2:$C$6,MATCH(B204,'Strategies'!$A$2:$A$6,0))),1,0)</x:f>
        <x:v>0</x:v>
      </x:c>
      <x:c r="E204" s="15" t="n">
        <x:f>INDEX('Respondents'!$B$2:$B$121,MATCH(A204,'Respondents'!$A$2:$A$121,0))</x:f>
        <x:v>2</x:v>
      </x:c>
    </x:row>
    <x:row r="205">
      <x:c r="A205" s="14" t="n">
        <x:v>41</x:v>
      </x:c>
      <x:c r="B205" s="14" t="n">
        <x:v>4</x:v>
      </x:c>
      <x:c r="C205" s="14" t="n">
        <x:v>0</x:v>
      </x:c>
      <x:c r="D205" s="15" t="n">
        <x:f>IF(AND(C205=1,INDEX('Respondents'!$C$2:$C$121,MATCH(A205,'Respondents'!$A$2:$A$121,0))&gt;=INDEX('Strategies'!$C$2:$C$6,MATCH(B205,'Strategies'!$A$2:$A$6,0))),1,0)</x:f>
        <x:v>0</x:v>
      </x:c>
      <x:c r="E205" s="15" t="n">
        <x:f>INDEX('Respondents'!$B$2:$B$121,MATCH(A205,'Respondents'!$A$2:$A$121,0))</x:f>
        <x:v>2</x:v>
      </x:c>
    </x:row>
    <x:row r="206">
      <x:c r="A206" s="14" t="n">
        <x:v>41</x:v>
      </x:c>
      <x:c r="B206" s="14" t="n">
        <x:v>5</x:v>
      </x:c>
      <x:c r="C206" s="14" t="n">
        <x:v>1</x:v>
      </x:c>
      <x:c r="D206" s="15" t="n">
        <x:f>IF(AND(C206=1,INDEX('Respondents'!$C$2:$C$121,MATCH(A206,'Respondents'!$A$2:$A$121,0))&gt;=INDEX('Strategies'!$C$2:$C$6,MATCH(B206,'Strategies'!$A$2:$A$6,0))),1,0)</x:f>
        <x:v>0</x:v>
      </x:c>
      <x:c r="E206" s="15" t="n">
        <x:f>INDEX('Respondents'!$B$2:$B$121,MATCH(A206,'Respondents'!$A$2:$A$121,0))</x:f>
        <x:v>2</x:v>
      </x:c>
    </x:row>
    <x:row r="207">
      <x:c r="A207" s="14" t="n">
        <x:v>42</x:v>
      </x:c>
      <x:c r="B207" s="14" t="n">
        <x:v>1</x:v>
      </x:c>
      <x:c r="C207" s="14" t="n">
        <x:v>1</x:v>
      </x:c>
      <x:c r="D207" s="15" t="n">
        <x:f>IF(AND(C207=1,INDEX('Respondents'!$C$2:$C$121,MATCH(A207,'Respondents'!$A$2:$A$121,0))&gt;=INDEX('Strategies'!$C$2:$C$6,MATCH(B207,'Strategies'!$A$2:$A$6,0))),1,0)</x:f>
        <x:v>0</x:v>
      </x:c>
      <x:c r="E207" s="15" t="n">
        <x:f>INDEX('Respondents'!$B$2:$B$121,MATCH(A207,'Respondents'!$A$2:$A$121,0))</x:f>
        <x:v>2</x:v>
      </x:c>
    </x:row>
    <x:row r="208">
      <x:c r="A208" s="14" t="n">
        <x:v>42</x:v>
      </x:c>
      <x:c r="B208" s="14" t="n">
        <x:v>2</x:v>
      </x:c>
      <x:c r="C208" s="14" t="n">
        <x:v>1</x:v>
      </x:c>
      <x:c r="D208" s="15" t="n">
        <x:f>IF(AND(C208=1,INDEX('Respondents'!$C$2:$C$121,MATCH(A208,'Respondents'!$A$2:$A$121,0))&gt;=INDEX('Strategies'!$C$2:$C$6,MATCH(B208,'Strategies'!$A$2:$A$6,0))),1,0)</x:f>
        <x:v>0</x:v>
      </x:c>
      <x:c r="E208" s="15" t="n">
        <x:f>INDEX('Respondents'!$B$2:$B$121,MATCH(A208,'Respondents'!$A$2:$A$121,0))</x:f>
        <x:v>2</x:v>
      </x:c>
    </x:row>
    <x:row r="209">
      <x:c r="A209" s="14" t="n">
        <x:v>42</x:v>
      </x:c>
      <x:c r="B209" s="14" t="n">
        <x:v>3</x:v>
      </x:c>
      <x:c r="C209" s="14" t="n">
        <x:v>1</x:v>
      </x:c>
      <x:c r="D209" s="15" t="n">
        <x:f>IF(AND(C209=1,INDEX('Respondents'!$C$2:$C$121,MATCH(A209,'Respondents'!$A$2:$A$121,0))&gt;=INDEX('Strategies'!$C$2:$C$6,MATCH(B209,'Strategies'!$A$2:$A$6,0))),1,0)</x:f>
        <x:v>0</x:v>
      </x:c>
      <x:c r="E209" s="15" t="n">
        <x:f>INDEX('Respondents'!$B$2:$B$121,MATCH(A209,'Respondents'!$A$2:$A$121,0))</x:f>
        <x:v>2</x:v>
      </x:c>
    </x:row>
    <x:row r="210">
      <x:c r="A210" s="14" t="n">
        <x:v>42</x:v>
      </x:c>
      <x:c r="B210" s="14" t="n">
        <x:v>4</x:v>
      </x:c>
      <x:c r="C210" s="14" t="n">
        <x:v>1</x:v>
      </x:c>
      <x:c r="D210" s="15" t="n">
        <x:f>IF(AND(C210=1,INDEX('Respondents'!$C$2:$C$121,MATCH(A210,'Respondents'!$A$2:$A$121,0))&gt;=INDEX('Strategies'!$C$2:$C$6,MATCH(B210,'Strategies'!$A$2:$A$6,0))),1,0)</x:f>
        <x:v>0</x:v>
      </x:c>
      <x:c r="E210" s="15" t="n">
        <x:f>INDEX('Respondents'!$B$2:$B$121,MATCH(A210,'Respondents'!$A$2:$A$121,0))</x:f>
        <x:v>2</x:v>
      </x:c>
    </x:row>
    <x:row r="211">
      <x:c r="A211" s="14" t="n">
        <x:v>42</x:v>
      </x:c>
      <x:c r="B211" s="14" t="n">
        <x:v>5</x:v>
      </x:c>
      <x:c r="C211" s="14" t="n">
        <x:v>1</x:v>
      </x:c>
      <x:c r="D211" s="15" t="n">
        <x:f>IF(AND(C211=1,INDEX('Respondents'!$C$2:$C$121,MATCH(A211,'Respondents'!$A$2:$A$121,0))&gt;=INDEX('Strategies'!$C$2:$C$6,MATCH(B211,'Strategies'!$A$2:$A$6,0))),1,0)</x:f>
        <x:v>0</x:v>
      </x:c>
      <x:c r="E211" s="15" t="n">
        <x:f>INDEX('Respondents'!$B$2:$B$121,MATCH(A211,'Respondents'!$A$2:$A$121,0))</x:f>
        <x:v>2</x:v>
      </x:c>
    </x:row>
    <x:row r="212">
      <x:c r="A212" s="14" t="n">
        <x:v>43</x:v>
      </x:c>
      <x:c r="B212" s="14" t="n">
        <x:v>1</x:v>
      </x:c>
      <x:c r="C212" s="14" t="n">
        <x:v>1</x:v>
      </x:c>
      <x:c r="D212" s="15" t="n">
        <x:f>IF(AND(C212=1,INDEX('Respondents'!$C$2:$C$121,MATCH(A212,'Respondents'!$A$2:$A$121,0))&gt;=INDEX('Strategies'!$C$2:$C$6,MATCH(B212,'Strategies'!$A$2:$A$6,0))),1,0)</x:f>
        <x:v>0</x:v>
      </x:c>
      <x:c r="E212" s="15" t="n">
        <x:f>INDEX('Respondents'!$B$2:$B$121,MATCH(A212,'Respondents'!$A$2:$A$121,0))</x:f>
        <x:v>2</x:v>
      </x:c>
    </x:row>
    <x:row r="213">
      <x:c r="A213" s="14" t="n">
        <x:v>43</x:v>
      </x:c>
      <x:c r="B213" s="14" t="n">
        <x:v>2</x:v>
      </x:c>
      <x:c r="C213" s="14" t="n">
        <x:v>1</x:v>
      </x:c>
      <x:c r="D213" s="15" t="n">
        <x:f>IF(AND(C213=1,INDEX('Respondents'!$C$2:$C$121,MATCH(A213,'Respondents'!$A$2:$A$121,0))&gt;=INDEX('Strategies'!$C$2:$C$6,MATCH(B213,'Strategies'!$A$2:$A$6,0))),1,0)</x:f>
        <x:v>0</x:v>
      </x:c>
      <x:c r="E213" s="15" t="n">
        <x:f>INDEX('Respondents'!$B$2:$B$121,MATCH(A213,'Respondents'!$A$2:$A$121,0))</x:f>
        <x:v>2</x:v>
      </x:c>
    </x:row>
    <x:row r="214">
      <x:c r="A214" s="14" t="n">
        <x:v>43</x:v>
      </x:c>
      <x:c r="B214" s="14" t="n">
        <x:v>3</x:v>
      </x:c>
      <x:c r="C214" s="14" t="n">
        <x:v>1</x:v>
      </x:c>
      <x:c r="D214" s="15" t="n">
        <x:f>IF(AND(C214=1,INDEX('Respondents'!$C$2:$C$121,MATCH(A214,'Respondents'!$A$2:$A$121,0))&gt;=INDEX('Strategies'!$C$2:$C$6,MATCH(B214,'Strategies'!$A$2:$A$6,0))),1,0)</x:f>
        <x:v>0</x:v>
      </x:c>
      <x:c r="E214" s="15" t="n">
        <x:f>INDEX('Respondents'!$B$2:$B$121,MATCH(A214,'Respondents'!$A$2:$A$121,0))</x:f>
        <x:v>2</x:v>
      </x:c>
    </x:row>
    <x:row r="215">
      <x:c r="A215" s="14" t="n">
        <x:v>43</x:v>
      </x:c>
      <x:c r="B215" s="14" t="n">
        <x:v>4</x:v>
      </x:c>
      <x:c r="C215" s="14" t="n">
        <x:v>1</x:v>
      </x:c>
      <x:c r="D215" s="15" t="n">
        <x:f>IF(AND(C215=1,INDEX('Respondents'!$C$2:$C$121,MATCH(A215,'Respondents'!$A$2:$A$121,0))&gt;=INDEX('Strategies'!$C$2:$C$6,MATCH(B215,'Strategies'!$A$2:$A$6,0))),1,0)</x:f>
        <x:v>0</x:v>
      </x:c>
      <x:c r="E215" s="15" t="n">
        <x:f>INDEX('Respondents'!$B$2:$B$121,MATCH(A215,'Respondents'!$A$2:$A$121,0))</x:f>
        <x:v>2</x:v>
      </x:c>
    </x:row>
    <x:row r="216">
      <x:c r="A216" s="14" t="n">
        <x:v>43</x:v>
      </x:c>
      <x:c r="B216" s="14" t="n">
        <x:v>5</x:v>
      </x:c>
      <x:c r="C216" s="14" t="n">
        <x:v>1</x:v>
      </x:c>
      <x:c r="D216" s="15" t="n">
        <x:f>IF(AND(C216=1,INDEX('Respondents'!$C$2:$C$121,MATCH(A216,'Respondents'!$A$2:$A$121,0))&gt;=INDEX('Strategies'!$C$2:$C$6,MATCH(B216,'Strategies'!$A$2:$A$6,0))),1,0)</x:f>
        <x:v>0</x:v>
      </x:c>
      <x:c r="E216" s="15" t="n">
        <x:f>INDEX('Respondents'!$B$2:$B$121,MATCH(A216,'Respondents'!$A$2:$A$121,0))</x:f>
        <x:v>2</x:v>
      </x:c>
    </x:row>
    <x:row r="217">
      <x:c r="A217" s="14" t="n">
        <x:v>44</x:v>
      </x:c>
      <x:c r="B217" s="14" t="n">
        <x:v>1</x:v>
      </x:c>
      <x:c r="C217" s="14" t="n">
        <x:v>1</x:v>
      </x:c>
      <x:c r="D217" s="15" t="n">
        <x:f>IF(AND(C217=1,INDEX('Respondents'!$C$2:$C$121,MATCH(A217,'Respondents'!$A$2:$A$121,0))&gt;=INDEX('Strategies'!$C$2:$C$6,MATCH(B217,'Strategies'!$A$2:$A$6,0))),1,0)</x:f>
        <x:v>0</x:v>
      </x:c>
      <x:c r="E217" s="15" t="n">
        <x:f>INDEX('Respondents'!$B$2:$B$121,MATCH(A217,'Respondents'!$A$2:$A$121,0))</x:f>
        <x:v>2</x:v>
      </x:c>
    </x:row>
    <x:row r="218">
      <x:c r="A218" s="14" t="n">
        <x:v>44</x:v>
      </x:c>
      <x:c r="B218" s="14" t="n">
        <x:v>2</x:v>
      </x:c>
      <x:c r="C218" s="14" t="n">
        <x:v>1</x:v>
      </x:c>
      <x:c r="D218" s="15" t="n">
        <x:f>IF(AND(C218=1,INDEX('Respondents'!$C$2:$C$121,MATCH(A218,'Respondents'!$A$2:$A$121,0))&gt;=INDEX('Strategies'!$C$2:$C$6,MATCH(B218,'Strategies'!$A$2:$A$6,0))),1,0)</x:f>
        <x:v>1</x:v>
      </x:c>
      <x:c r="E218" s="15" t="n">
        <x:f>INDEX('Respondents'!$B$2:$B$121,MATCH(A218,'Respondents'!$A$2:$A$121,0))</x:f>
        <x:v>2</x:v>
      </x:c>
    </x:row>
    <x:row r="219">
      <x:c r="A219" s="14" t="n">
        <x:v>44</x:v>
      </x:c>
      <x:c r="B219" s="14" t="n">
        <x:v>3</x:v>
      </x:c>
      <x:c r="C219" s="14" t="n">
        <x:v>1</x:v>
      </x:c>
      <x:c r="D219" s="15" t="n">
        <x:f>IF(AND(C219=1,INDEX('Respondents'!$C$2:$C$121,MATCH(A219,'Respondents'!$A$2:$A$121,0))&gt;=INDEX('Strategies'!$C$2:$C$6,MATCH(B219,'Strategies'!$A$2:$A$6,0))),1,0)</x:f>
        <x:v>0</x:v>
      </x:c>
      <x:c r="E219" s="15" t="n">
        <x:f>INDEX('Respondents'!$B$2:$B$121,MATCH(A219,'Respondents'!$A$2:$A$121,0))</x:f>
        <x:v>2</x:v>
      </x:c>
    </x:row>
    <x:row r="220">
      <x:c r="A220" s="14" t="n">
        <x:v>44</x:v>
      </x:c>
      <x:c r="B220" s="14" t="n">
        <x:v>4</x:v>
      </x:c>
      <x:c r="C220" s="14" t="n">
        <x:v>1</x:v>
      </x:c>
      <x:c r="D220" s="15" t="n">
        <x:f>IF(AND(C220=1,INDEX('Respondents'!$C$2:$C$121,MATCH(A220,'Respondents'!$A$2:$A$121,0))&gt;=INDEX('Strategies'!$C$2:$C$6,MATCH(B220,'Strategies'!$A$2:$A$6,0))),1,0)</x:f>
        <x:v>1</x:v>
      </x:c>
      <x:c r="E220" s="15" t="n">
        <x:f>INDEX('Respondents'!$B$2:$B$121,MATCH(A220,'Respondents'!$A$2:$A$121,0))</x:f>
        <x:v>2</x:v>
      </x:c>
    </x:row>
    <x:row r="221">
      <x:c r="A221" s="14" t="n">
        <x:v>44</x:v>
      </x:c>
      <x:c r="B221" s="14" t="n">
        <x:v>5</x:v>
      </x:c>
      <x:c r="C221" s="14" t="n">
        <x:v>1</x:v>
      </x:c>
      <x:c r="D221" s="15" t="n">
        <x:f>IF(AND(C221=1,INDEX('Respondents'!$C$2:$C$121,MATCH(A221,'Respondents'!$A$2:$A$121,0))&gt;=INDEX('Strategies'!$C$2:$C$6,MATCH(B221,'Strategies'!$A$2:$A$6,0))),1,0)</x:f>
        <x:v>0</x:v>
      </x:c>
      <x:c r="E221" s="15" t="n">
        <x:f>INDEX('Respondents'!$B$2:$B$121,MATCH(A221,'Respondents'!$A$2:$A$121,0))</x:f>
        <x:v>2</x:v>
      </x:c>
    </x:row>
    <x:row r="222">
      <x:c r="A222" s="14" t="n">
        <x:v>45</x:v>
      </x:c>
      <x:c r="B222" s="14" t="n">
        <x:v>1</x:v>
      </x:c>
      <x:c r="C222" s="14" t="n">
        <x:v>1</x:v>
      </x:c>
      <x:c r="D222" s="15" t="n">
        <x:f>IF(AND(C222=1,INDEX('Respondents'!$C$2:$C$121,MATCH(A222,'Respondents'!$A$2:$A$121,0))&gt;=INDEX('Strategies'!$C$2:$C$6,MATCH(B222,'Strategies'!$A$2:$A$6,0))),1,0)</x:f>
        <x:v>0</x:v>
      </x:c>
      <x:c r="E222" s="15" t="n">
        <x:f>INDEX('Respondents'!$B$2:$B$121,MATCH(A222,'Respondents'!$A$2:$A$121,0))</x:f>
        <x:v>2</x:v>
      </x:c>
    </x:row>
    <x:row r="223">
      <x:c r="A223" s="14" t="n">
        <x:v>45</x:v>
      </x:c>
      <x:c r="B223" s="14" t="n">
        <x:v>2</x:v>
      </x:c>
      <x:c r="C223" s="14" t="n">
        <x:v>1</x:v>
      </x:c>
      <x:c r="D223" s="15" t="n">
        <x:f>IF(AND(C223=1,INDEX('Respondents'!$C$2:$C$121,MATCH(A223,'Respondents'!$A$2:$A$121,0))&gt;=INDEX('Strategies'!$C$2:$C$6,MATCH(B223,'Strategies'!$A$2:$A$6,0))),1,0)</x:f>
        <x:v>0</x:v>
      </x:c>
      <x:c r="E223" s="15" t="n">
        <x:f>INDEX('Respondents'!$B$2:$B$121,MATCH(A223,'Respondents'!$A$2:$A$121,0))</x:f>
        <x:v>2</x:v>
      </x:c>
    </x:row>
    <x:row r="224">
      <x:c r="A224" s="14" t="n">
        <x:v>45</x:v>
      </x:c>
      <x:c r="B224" s="14" t="n">
        <x:v>3</x:v>
      </x:c>
      <x:c r="C224" s="14" t="n">
        <x:v>1</x:v>
      </x:c>
      <x:c r="D224" s="15" t="n">
        <x:f>IF(AND(C224=1,INDEX('Respondents'!$C$2:$C$121,MATCH(A224,'Respondents'!$A$2:$A$121,0))&gt;=INDEX('Strategies'!$C$2:$C$6,MATCH(B224,'Strategies'!$A$2:$A$6,0))),1,0)</x:f>
        <x:v>0</x:v>
      </x:c>
      <x:c r="E224" s="15" t="n">
        <x:f>INDEX('Respondents'!$B$2:$B$121,MATCH(A224,'Respondents'!$A$2:$A$121,0))</x:f>
        <x:v>2</x:v>
      </x:c>
    </x:row>
    <x:row r="225">
      <x:c r="A225" s="14" t="n">
        <x:v>45</x:v>
      </x:c>
      <x:c r="B225" s="14" t="n">
        <x:v>4</x:v>
      </x:c>
      <x:c r="C225" s="14" t="n">
        <x:v>1</x:v>
      </x:c>
      <x:c r="D225" s="15" t="n">
        <x:f>IF(AND(C225=1,INDEX('Respondents'!$C$2:$C$121,MATCH(A225,'Respondents'!$A$2:$A$121,0))&gt;=INDEX('Strategies'!$C$2:$C$6,MATCH(B225,'Strategies'!$A$2:$A$6,0))),1,0)</x:f>
        <x:v>1</x:v>
      </x:c>
      <x:c r="E225" s="15" t="n">
        <x:f>INDEX('Respondents'!$B$2:$B$121,MATCH(A225,'Respondents'!$A$2:$A$121,0))</x:f>
        <x:v>2</x:v>
      </x:c>
    </x:row>
    <x:row r="226">
      <x:c r="A226" s="14" t="n">
        <x:v>45</x:v>
      </x:c>
      <x:c r="B226" s="14" t="n">
        <x:v>5</x:v>
      </x:c>
      <x:c r="C226" s="14" t="n">
        <x:v>1</x:v>
      </x:c>
      <x:c r="D226" s="15" t="n">
        <x:f>IF(AND(C226=1,INDEX('Respondents'!$C$2:$C$121,MATCH(A226,'Respondents'!$A$2:$A$121,0))&gt;=INDEX('Strategies'!$C$2:$C$6,MATCH(B226,'Strategies'!$A$2:$A$6,0))),1,0)</x:f>
        <x:v>0</x:v>
      </x:c>
      <x:c r="E226" s="15" t="n">
        <x:f>INDEX('Respondents'!$B$2:$B$121,MATCH(A226,'Respondents'!$A$2:$A$121,0))</x:f>
        <x:v>2</x:v>
      </x:c>
    </x:row>
    <x:row r="227">
      <x:c r="A227" s="14" t="n">
        <x:v>46</x:v>
      </x:c>
      <x:c r="B227" s="14" t="n">
        <x:v>1</x:v>
      </x:c>
      <x:c r="C227" s="14" t="n">
        <x:v>0</x:v>
      </x:c>
      <x:c r="D227" s="15" t="n">
        <x:f>IF(AND(C227=1,INDEX('Respondents'!$C$2:$C$121,MATCH(A227,'Respondents'!$A$2:$A$121,0))&gt;=INDEX('Strategies'!$C$2:$C$6,MATCH(B227,'Strategies'!$A$2:$A$6,0))),1,0)</x:f>
        <x:v>0</x:v>
      </x:c>
      <x:c r="E227" s="15" t="n">
        <x:f>INDEX('Respondents'!$B$2:$B$121,MATCH(A227,'Respondents'!$A$2:$A$121,0))</x:f>
        <x:v>2</x:v>
      </x:c>
    </x:row>
    <x:row r="228">
      <x:c r="A228" s="14" t="n">
        <x:v>46</x:v>
      </x:c>
      <x:c r="B228" s="14" t="n">
        <x:v>2</x:v>
      </x:c>
      <x:c r="C228" s="14" t="n">
        <x:v>1</x:v>
      </x:c>
      <x:c r="D228" s="15" t="n">
        <x:f>IF(AND(C228=1,INDEX('Respondents'!$C$2:$C$121,MATCH(A228,'Respondents'!$A$2:$A$121,0))&gt;=INDEX('Strategies'!$C$2:$C$6,MATCH(B228,'Strategies'!$A$2:$A$6,0))),1,0)</x:f>
        <x:v>1</x:v>
      </x:c>
      <x:c r="E228" s="15" t="n">
        <x:f>INDEX('Respondents'!$B$2:$B$121,MATCH(A228,'Respondents'!$A$2:$A$121,0))</x:f>
        <x:v>2</x:v>
      </x:c>
    </x:row>
    <x:row r="229">
      <x:c r="A229" s="14" t="n">
        <x:v>46</x:v>
      </x:c>
      <x:c r="B229" s="14" t="n">
        <x:v>3</x:v>
      </x:c>
      <x:c r="C229" s="14" t="n">
        <x:v>1</x:v>
      </x:c>
      <x:c r="D229" s="15" t="n">
        <x:f>IF(AND(C229=1,INDEX('Respondents'!$C$2:$C$121,MATCH(A229,'Respondents'!$A$2:$A$121,0))&gt;=INDEX('Strategies'!$C$2:$C$6,MATCH(B229,'Strategies'!$A$2:$A$6,0))),1,0)</x:f>
        <x:v>0</x:v>
      </x:c>
      <x:c r="E229" s="15" t="n">
        <x:f>INDEX('Respondents'!$B$2:$B$121,MATCH(A229,'Respondents'!$A$2:$A$121,0))</x:f>
        <x:v>2</x:v>
      </x:c>
    </x:row>
    <x:row r="230">
      <x:c r="A230" s="14" t="n">
        <x:v>46</x:v>
      </x:c>
      <x:c r="B230" s="14" t="n">
        <x:v>4</x:v>
      </x:c>
      <x:c r="C230" s="14" t="n">
        <x:v>1</x:v>
      </x:c>
      <x:c r="D230" s="15" t="n">
        <x:f>IF(AND(C230=1,INDEX('Respondents'!$C$2:$C$121,MATCH(A230,'Respondents'!$A$2:$A$121,0))&gt;=INDEX('Strategies'!$C$2:$C$6,MATCH(B230,'Strategies'!$A$2:$A$6,0))),1,0)</x:f>
        <x:v>1</x:v>
      </x:c>
      <x:c r="E230" s="15" t="n">
        <x:f>INDEX('Respondents'!$B$2:$B$121,MATCH(A230,'Respondents'!$A$2:$A$121,0))</x:f>
        <x:v>2</x:v>
      </x:c>
    </x:row>
    <x:row r="231">
      <x:c r="A231" s="14" t="n">
        <x:v>46</x:v>
      </x:c>
      <x:c r="B231" s="14" t="n">
        <x:v>5</x:v>
      </x:c>
      <x:c r="C231" s="14" t="n">
        <x:v>0</x:v>
      </x:c>
      <x:c r="D231" s="15" t="n">
        <x:f>IF(AND(C231=1,INDEX('Respondents'!$C$2:$C$121,MATCH(A231,'Respondents'!$A$2:$A$121,0))&gt;=INDEX('Strategies'!$C$2:$C$6,MATCH(B231,'Strategies'!$A$2:$A$6,0))),1,0)</x:f>
        <x:v>0</x:v>
      </x:c>
      <x:c r="E231" s="15" t="n">
        <x:f>INDEX('Respondents'!$B$2:$B$121,MATCH(A231,'Respondents'!$A$2:$A$121,0))</x:f>
        <x:v>2</x:v>
      </x:c>
    </x:row>
    <x:row r="232">
      <x:c r="A232" s="14" t="n">
        <x:v>47</x:v>
      </x:c>
      <x:c r="B232" s="14" t="n">
        <x:v>1</x:v>
      </x:c>
      <x:c r="C232" s="14" t="n">
        <x:v>1</x:v>
      </x:c>
      <x:c r="D232" s="15" t="n">
        <x:f>IF(AND(C232=1,INDEX('Respondents'!$C$2:$C$121,MATCH(A232,'Respondents'!$A$2:$A$121,0))&gt;=INDEX('Strategies'!$C$2:$C$6,MATCH(B232,'Strategies'!$A$2:$A$6,0))),1,0)</x:f>
        <x:v>0</x:v>
      </x:c>
      <x:c r="E232" s="15" t="n">
        <x:f>INDEX('Respondents'!$B$2:$B$121,MATCH(A232,'Respondents'!$A$2:$A$121,0))</x:f>
        <x:v>2</x:v>
      </x:c>
    </x:row>
    <x:row r="233">
      <x:c r="A233" s="14" t="n">
        <x:v>47</x:v>
      </x:c>
      <x:c r="B233" s="14" t="n">
        <x:v>2</x:v>
      </x:c>
      <x:c r="C233" s="14" t="n">
        <x:v>1</x:v>
      </x:c>
      <x:c r="D233" s="15" t="n">
        <x:f>IF(AND(C233=1,INDEX('Respondents'!$C$2:$C$121,MATCH(A233,'Respondents'!$A$2:$A$121,0))&gt;=INDEX('Strategies'!$C$2:$C$6,MATCH(B233,'Strategies'!$A$2:$A$6,0))),1,0)</x:f>
        <x:v>0</x:v>
      </x:c>
      <x:c r="E233" s="15" t="n">
        <x:f>INDEX('Respondents'!$B$2:$B$121,MATCH(A233,'Respondents'!$A$2:$A$121,0))</x:f>
        <x:v>2</x:v>
      </x:c>
    </x:row>
    <x:row r="234">
      <x:c r="A234" s="14" t="n">
        <x:v>47</x:v>
      </x:c>
      <x:c r="B234" s="14" t="n">
        <x:v>3</x:v>
      </x:c>
      <x:c r="C234" s="14" t="n">
        <x:v>0</x:v>
      </x:c>
      <x:c r="D234" s="15" t="n">
        <x:f>IF(AND(C234=1,INDEX('Respondents'!$C$2:$C$121,MATCH(A234,'Respondents'!$A$2:$A$121,0))&gt;=INDEX('Strategies'!$C$2:$C$6,MATCH(B234,'Strategies'!$A$2:$A$6,0))),1,0)</x:f>
        <x:v>0</x:v>
      </x:c>
      <x:c r="E234" s="15" t="n">
        <x:f>INDEX('Respondents'!$B$2:$B$121,MATCH(A234,'Respondents'!$A$2:$A$121,0))</x:f>
        <x:v>2</x:v>
      </x:c>
    </x:row>
    <x:row r="235">
      <x:c r="A235" s="14" t="n">
        <x:v>47</x:v>
      </x:c>
      <x:c r="B235" s="14" t="n">
        <x:v>4</x:v>
      </x:c>
      <x:c r="C235" s="14" t="n">
        <x:v>1</x:v>
      </x:c>
      <x:c r="D235" s="15" t="n">
        <x:f>IF(AND(C235=1,INDEX('Respondents'!$C$2:$C$121,MATCH(A235,'Respondents'!$A$2:$A$121,0))&gt;=INDEX('Strategies'!$C$2:$C$6,MATCH(B235,'Strategies'!$A$2:$A$6,0))),1,0)</x:f>
        <x:v>0</x:v>
      </x:c>
      <x:c r="E235" s="15" t="n">
        <x:f>INDEX('Respondents'!$B$2:$B$121,MATCH(A235,'Respondents'!$A$2:$A$121,0))</x:f>
        <x:v>2</x:v>
      </x:c>
    </x:row>
    <x:row r="236">
      <x:c r="A236" s="14" t="n">
        <x:v>47</x:v>
      </x:c>
      <x:c r="B236" s="14" t="n">
        <x:v>5</x:v>
      </x:c>
      <x:c r="C236" s="14" t="n">
        <x:v>1</x:v>
      </x:c>
      <x:c r="D236" s="15" t="n">
        <x:f>IF(AND(C236=1,INDEX('Respondents'!$C$2:$C$121,MATCH(A236,'Respondents'!$A$2:$A$121,0))&gt;=INDEX('Strategies'!$C$2:$C$6,MATCH(B236,'Strategies'!$A$2:$A$6,0))),1,0)</x:f>
        <x:v>0</x:v>
      </x:c>
      <x:c r="E236" s="15" t="n">
        <x:f>INDEX('Respondents'!$B$2:$B$121,MATCH(A236,'Respondents'!$A$2:$A$121,0))</x:f>
        <x:v>2</x:v>
      </x:c>
    </x:row>
    <x:row r="237">
      <x:c r="A237" s="14" t="n">
        <x:v>48</x:v>
      </x:c>
      <x:c r="B237" s="14" t="n">
        <x:v>1</x:v>
      </x:c>
      <x:c r="C237" s="14" t="n">
        <x:v>1</x:v>
      </x:c>
      <x:c r="D237" s="15" t="n">
        <x:f>IF(AND(C237=1,INDEX('Respondents'!$C$2:$C$121,MATCH(A237,'Respondents'!$A$2:$A$121,0))&gt;=INDEX('Strategies'!$C$2:$C$6,MATCH(B237,'Strategies'!$A$2:$A$6,0))),1,0)</x:f>
        <x:v>0</x:v>
      </x:c>
      <x:c r="E237" s="15" t="n">
        <x:f>INDEX('Respondents'!$B$2:$B$121,MATCH(A237,'Respondents'!$A$2:$A$121,0))</x:f>
        <x:v>2</x:v>
      </x:c>
    </x:row>
    <x:row r="238">
      <x:c r="A238" s="14" t="n">
        <x:v>48</x:v>
      </x:c>
      <x:c r="B238" s="14" t="n">
        <x:v>2</x:v>
      </x:c>
      <x:c r="C238" s="14" t="n">
        <x:v>1</x:v>
      </x:c>
      <x:c r="D238" s="15" t="n">
        <x:f>IF(AND(C238=1,INDEX('Respondents'!$C$2:$C$121,MATCH(A238,'Respondents'!$A$2:$A$121,0))&gt;=INDEX('Strategies'!$C$2:$C$6,MATCH(B238,'Strategies'!$A$2:$A$6,0))),1,0)</x:f>
        <x:v>1</x:v>
      </x:c>
      <x:c r="E238" s="15" t="n">
        <x:f>INDEX('Respondents'!$B$2:$B$121,MATCH(A238,'Respondents'!$A$2:$A$121,0))</x:f>
        <x:v>2</x:v>
      </x:c>
    </x:row>
    <x:row r="239">
      <x:c r="A239" s="14" t="n">
        <x:v>48</x:v>
      </x:c>
      <x:c r="B239" s="14" t="n">
        <x:v>3</x:v>
      </x:c>
      <x:c r="C239" s="14" t="n">
        <x:v>1</x:v>
      </x:c>
      <x:c r="D239" s="15" t="n">
        <x:f>IF(AND(C239=1,INDEX('Respondents'!$C$2:$C$121,MATCH(A239,'Respondents'!$A$2:$A$121,0))&gt;=INDEX('Strategies'!$C$2:$C$6,MATCH(B239,'Strategies'!$A$2:$A$6,0))),1,0)</x:f>
        <x:v>0</x:v>
      </x:c>
      <x:c r="E239" s="15" t="n">
        <x:f>INDEX('Respondents'!$B$2:$B$121,MATCH(A239,'Respondents'!$A$2:$A$121,0))</x:f>
        <x:v>2</x:v>
      </x:c>
    </x:row>
    <x:row r="240">
      <x:c r="A240" s="14" t="n">
        <x:v>48</x:v>
      </x:c>
      <x:c r="B240" s="14" t="n">
        <x:v>4</x:v>
      </x:c>
      <x:c r="C240" s="14" t="n">
        <x:v>1</x:v>
      </x:c>
      <x:c r="D240" s="15" t="n">
        <x:f>IF(AND(C240=1,INDEX('Respondents'!$C$2:$C$121,MATCH(A240,'Respondents'!$A$2:$A$121,0))&gt;=INDEX('Strategies'!$C$2:$C$6,MATCH(B240,'Strategies'!$A$2:$A$6,0))),1,0)</x:f>
        <x:v>1</x:v>
      </x:c>
      <x:c r="E240" s="15" t="n">
        <x:f>INDEX('Respondents'!$B$2:$B$121,MATCH(A240,'Respondents'!$A$2:$A$121,0))</x:f>
        <x:v>2</x:v>
      </x:c>
    </x:row>
    <x:row r="241">
      <x:c r="A241" s="14" t="n">
        <x:v>48</x:v>
      </x:c>
      <x:c r="B241" s="14" t="n">
        <x:v>5</x:v>
      </x:c>
      <x:c r="C241" s="14" t="n">
        <x:v>1</x:v>
      </x:c>
      <x:c r="D241" s="15" t="n">
        <x:f>IF(AND(C241=1,INDEX('Respondents'!$C$2:$C$121,MATCH(A241,'Respondents'!$A$2:$A$121,0))&gt;=INDEX('Strategies'!$C$2:$C$6,MATCH(B241,'Strategies'!$A$2:$A$6,0))),1,0)</x:f>
        <x:v>0</x:v>
      </x:c>
      <x:c r="E241" s="15" t="n">
        <x:f>INDEX('Respondents'!$B$2:$B$121,MATCH(A241,'Respondents'!$A$2:$A$121,0))</x:f>
        <x:v>2</x:v>
      </x:c>
    </x:row>
    <x:row r="242">
      <x:c r="A242" s="14" t="n">
        <x:v>49</x:v>
      </x:c>
      <x:c r="B242" s="14" t="n">
        <x:v>1</x:v>
      </x:c>
      <x:c r="C242" s="14" t="n">
        <x:v>1</x:v>
      </x:c>
      <x:c r="D242" s="15" t="n">
        <x:f>IF(AND(C242=1,INDEX('Respondents'!$C$2:$C$121,MATCH(A242,'Respondents'!$A$2:$A$121,0))&gt;=INDEX('Strategies'!$C$2:$C$6,MATCH(B242,'Strategies'!$A$2:$A$6,0))),1,0)</x:f>
        <x:v>0</x:v>
      </x:c>
      <x:c r="E242" s="15" t="n">
        <x:f>INDEX('Respondents'!$B$2:$B$121,MATCH(A242,'Respondents'!$A$2:$A$121,0))</x:f>
        <x:v>2</x:v>
      </x:c>
    </x:row>
    <x:row r="243">
      <x:c r="A243" s="14" t="n">
        <x:v>49</x:v>
      </x:c>
      <x:c r="B243" s="14" t="n">
        <x:v>2</x:v>
      </x:c>
      <x:c r="C243" s="14" t="n">
        <x:v>1</x:v>
      </x:c>
      <x:c r="D243" s="15" t="n">
        <x:f>IF(AND(C243=1,INDEX('Respondents'!$C$2:$C$121,MATCH(A243,'Respondents'!$A$2:$A$121,0))&gt;=INDEX('Strategies'!$C$2:$C$6,MATCH(B243,'Strategies'!$A$2:$A$6,0))),1,0)</x:f>
        <x:v>1</x:v>
      </x:c>
      <x:c r="E243" s="15" t="n">
        <x:f>INDEX('Respondents'!$B$2:$B$121,MATCH(A243,'Respondents'!$A$2:$A$121,0))</x:f>
        <x:v>2</x:v>
      </x:c>
    </x:row>
    <x:row r="244">
      <x:c r="A244" s="14" t="n">
        <x:v>49</x:v>
      </x:c>
      <x:c r="B244" s="14" t="n">
        <x:v>3</x:v>
      </x:c>
      <x:c r="C244" s="14" t="n">
        <x:v>1</x:v>
      </x:c>
      <x:c r="D244" s="15" t="n">
        <x:f>IF(AND(C244=1,INDEX('Respondents'!$C$2:$C$121,MATCH(A244,'Respondents'!$A$2:$A$121,0))&gt;=INDEX('Strategies'!$C$2:$C$6,MATCH(B244,'Strategies'!$A$2:$A$6,0))),1,0)</x:f>
        <x:v>0</x:v>
      </x:c>
      <x:c r="E244" s="15" t="n">
        <x:f>INDEX('Respondents'!$B$2:$B$121,MATCH(A244,'Respondents'!$A$2:$A$121,0))</x:f>
        <x:v>2</x:v>
      </x:c>
    </x:row>
    <x:row r="245">
      <x:c r="A245" s="14" t="n">
        <x:v>49</x:v>
      </x:c>
      <x:c r="B245" s="14" t="n">
        <x:v>4</x:v>
      </x:c>
      <x:c r="C245" s="14" t="n">
        <x:v>1</x:v>
      </x:c>
      <x:c r="D245" s="15" t="n">
        <x:f>IF(AND(C245=1,INDEX('Respondents'!$C$2:$C$121,MATCH(A245,'Respondents'!$A$2:$A$121,0))&gt;=INDEX('Strategies'!$C$2:$C$6,MATCH(B245,'Strategies'!$A$2:$A$6,0))),1,0)</x:f>
        <x:v>1</x:v>
      </x:c>
      <x:c r="E245" s="15" t="n">
        <x:f>INDEX('Respondents'!$B$2:$B$121,MATCH(A245,'Respondents'!$A$2:$A$121,0))</x:f>
        <x:v>2</x:v>
      </x:c>
    </x:row>
    <x:row r="246">
      <x:c r="A246" s="14" t="n">
        <x:v>49</x:v>
      </x:c>
      <x:c r="B246" s="14" t="n">
        <x:v>5</x:v>
      </x:c>
      <x:c r="C246" s="14" t="n">
        <x:v>1</x:v>
      </x:c>
      <x:c r="D246" s="15" t="n">
        <x:f>IF(AND(C246=1,INDEX('Respondents'!$C$2:$C$121,MATCH(A246,'Respondents'!$A$2:$A$121,0))&gt;=INDEX('Strategies'!$C$2:$C$6,MATCH(B246,'Strategies'!$A$2:$A$6,0))),1,0)</x:f>
        <x:v>0</x:v>
      </x:c>
      <x:c r="E246" s="15" t="n">
        <x:f>INDEX('Respondents'!$B$2:$B$121,MATCH(A246,'Respondents'!$A$2:$A$121,0))</x:f>
        <x:v>2</x:v>
      </x:c>
    </x:row>
    <x:row r="247">
      <x:c r="A247" s="14" t="n">
        <x:v>50</x:v>
      </x:c>
      <x:c r="B247" s="14" t="n">
        <x:v>1</x:v>
      </x:c>
      <x:c r="C247" s="14" t="n">
        <x:v>1</x:v>
      </x:c>
      <x:c r="D247" s="15" t="n">
        <x:f>IF(AND(C247=1,INDEX('Respondents'!$C$2:$C$121,MATCH(A247,'Respondents'!$A$2:$A$121,0))&gt;=INDEX('Strategies'!$C$2:$C$6,MATCH(B247,'Strategies'!$A$2:$A$6,0))),1,0)</x:f>
        <x:v>0</x:v>
      </x:c>
      <x:c r="E247" s="15" t="n">
        <x:f>INDEX('Respondents'!$B$2:$B$121,MATCH(A247,'Respondents'!$A$2:$A$121,0))</x:f>
        <x:v>2</x:v>
      </x:c>
    </x:row>
    <x:row r="248">
      <x:c r="A248" s="14" t="n">
        <x:v>50</x:v>
      </x:c>
      <x:c r="B248" s="14" t="n">
        <x:v>2</x:v>
      </x:c>
      <x:c r="C248" s="14" t="n">
        <x:v>0</x:v>
      </x:c>
      <x:c r="D248" s="15" t="n">
        <x:f>IF(AND(C248=1,INDEX('Respondents'!$C$2:$C$121,MATCH(A248,'Respondents'!$A$2:$A$121,0))&gt;=INDEX('Strategies'!$C$2:$C$6,MATCH(B248,'Strategies'!$A$2:$A$6,0))),1,0)</x:f>
        <x:v>0</x:v>
      </x:c>
      <x:c r="E248" s="15" t="n">
        <x:f>INDEX('Respondents'!$B$2:$B$121,MATCH(A248,'Respondents'!$A$2:$A$121,0))</x:f>
        <x:v>2</x:v>
      </x:c>
    </x:row>
    <x:row r="249">
      <x:c r="A249" s="14" t="n">
        <x:v>50</x:v>
      </x:c>
      <x:c r="B249" s="14" t="n">
        <x:v>3</x:v>
      </x:c>
      <x:c r="C249" s="14" t="n">
        <x:v>1</x:v>
      </x:c>
      <x:c r="D249" s="15" t="n">
        <x:f>IF(AND(C249=1,INDEX('Respondents'!$C$2:$C$121,MATCH(A249,'Respondents'!$A$2:$A$121,0))&gt;=INDEX('Strategies'!$C$2:$C$6,MATCH(B249,'Strategies'!$A$2:$A$6,0))),1,0)</x:f>
        <x:v>0</x:v>
      </x:c>
      <x:c r="E249" s="15" t="n">
        <x:f>INDEX('Respondents'!$B$2:$B$121,MATCH(A249,'Respondents'!$A$2:$A$121,0))</x:f>
        <x:v>2</x:v>
      </x:c>
    </x:row>
    <x:row r="250">
      <x:c r="A250" s="14" t="n">
        <x:v>50</x:v>
      </x:c>
      <x:c r="B250" s="14" t="n">
        <x:v>4</x:v>
      </x:c>
      <x:c r="C250" s="14" t="n">
        <x:v>1</x:v>
      </x:c>
      <x:c r="D250" s="15" t="n">
        <x:f>IF(AND(C250=1,INDEX('Respondents'!$C$2:$C$121,MATCH(A250,'Respondents'!$A$2:$A$121,0))&gt;=INDEX('Strategies'!$C$2:$C$6,MATCH(B250,'Strategies'!$A$2:$A$6,0))),1,0)</x:f>
        <x:v>1</x:v>
      </x:c>
      <x:c r="E250" s="15" t="n">
        <x:f>INDEX('Respondents'!$B$2:$B$121,MATCH(A250,'Respondents'!$A$2:$A$121,0))</x:f>
        <x:v>2</x:v>
      </x:c>
    </x:row>
    <x:row r="251">
      <x:c r="A251" s="14" t="n">
        <x:v>50</x:v>
      </x:c>
      <x:c r="B251" s="14" t="n">
        <x:v>5</x:v>
      </x:c>
      <x:c r="C251" s="14" t="n">
        <x:v>1</x:v>
      </x:c>
      <x:c r="D251" s="15" t="n">
        <x:f>IF(AND(C251=1,INDEX('Respondents'!$C$2:$C$121,MATCH(A251,'Respondents'!$A$2:$A$121,0))&gt;=INDEX('Strategies'!$C$2:$C$6,MATCH(B251,'Strategies'!$A$2:$A$6,0))),1,0)</x:f>
        <x:v>0</x:v>
      </x:c>
      <x:c r="E251" s="15" t="n">
        <x:f>INDEX('Respondents'!$B$2:$B$121,MATCH(A251,'Respondents'!$A$2:$A$121,0))</x:f>
        <x:v>2</x:v>
      </x:c>
    </x:row>
    <x:row r="252">
      <x:c r="A252" s="14" t="n">
        <x:v>51</x:v>
      </x:c>
      <x:c r="B252" s="14" t="n">
        <x:v>1</x:v>
      </x:c>
      <x:c r="C252" s="14" t="n">
        <x:v>0</x:v>
      </x:c>
      <x:c r="D252" s="15" t="n">
        <x:f>IF(AND(C252=1,INDEX('Respondents'!$C$2:$C$121,MATCH(A252,'Respondents'!$A$2:$A$121,0))&gt;=INDEX('Strategies'!$C$2:$C$6,MATCH(B252,'Strategies'!$A$2:$A$6,0))),1,0)</x:f>
        <x:v>0</x:v>
      </x:c>
      <x:c r="E252" s="15" t="n">
        <x:f>INDEX('Respondents'!$B$2:$B$121,MATCH(A252,'Respondents'!$A$2:$A$121,0))</x:f>
        <x:v>2</x:v>
      </x:c>
    </x:row>
    <x:row r="253">
      <x:c r="A253" s="14" t="n">
        <x:v>51</x:v>
      </x:c>
      <x:c r="B253" s="14" t="n">
        <x:v>2</x:v>
      </x:c>
      <x:c r="C253" s="14" t="n">
        <x:v>1</x:v>
      </x:c>
      <x:c r="D253" s="15" t="n">
        <x:f>IF(AND(C253=1,INDEX('Respondents'!$C$2:$C$121,MATCH(A253,'Respondents'!$A$2:$A$121,0))&gt;=INDEX('Strategies'!$C$2:$C$6,MATCH(B253,'Strategies'!$A$2:$A$6,0))),1,0)</x:f>
        <x:v>0</x:v>
      </x:c>
      <x:c r="E253" s="15" t="n">
        <x:f>INDEX('Respondents'!$B$2:$B$121,MATCH(A253,'Respondents'!$A$2:$A$121,0))</x:f>
        <x:v>2</x:v>
      </x:c>
    </x:row>
    <x:row r="254">
      <x:c r="A254" s="14" t="n">
        <x:v>51</x:v>
      </x:c>
      <x:c r="B254" s="14" t="n">
        <x:v>3</x:v>
      </x:c>
      <x:c r="C254" s="14" t="n">
        <x:v>1</x:v>
      </x:c>
      <x:c r="D254" s="15" t="n">
        <x:f>IF(AND(C254=1,INDEX('Respondents'!$C$2:$C$121,MATCH(A254,'Respondents'!$A$2:$A$121,0))&gt;=INDEX('Strategies'!$C$2:$C$6,MATCH(B254,'Strategies'!$A$2:$A$6,0))),1,0)</x:f>
        <x:v>0</x:v>
      </x:c>
      <x:c r="E254" s="15" t="n">
        <x:f>INDEX('Respondents'!$B$2:$B$121,MATCH(A254,'Respondents'!$A$2:$A$121,0))</x:f>
        <x:v>2</x:v>
      </x:c>
    </x:row>
    <x:row r="255">
      <x:c r="A255" s="14" t="n">
        <x:v>51</x:v>
      </x:c>
      <x:c r="B255" s="14" t="n">
        <x:v>4</x:v>
      </x:c>
      <x:c r="C255" s="14" t="n">
        <x:v>1</x:v>
      </x:c>
      <x:c r="D255" s="15" t="n">
        <x:f>IF(AND(C255=1,INDEX('Respondents'!$C$2:$C$121,MATCH(A255,'Respondents'!$A$2:$A$121,0))&gt;=INDEX('Strategies'!$C$2:$C$6,MATCH(B255,'Strategies'!$A$2:$A$6,0))),1,0)</x:f>
        <x:v>0</x:v>
      </x:c>
      <x:c r="E255" s="15" t="n">
        <x:f>INDEX('Respondents'!$B$2:$B$121,MATCH(A255,'Respondents'!$A$2:$A$121,0))</x:f>
        <x:v>2</x:v>
      </x:c>
    </x:row>
    <x:row r="256">
      <x:c r="A256" s="14" t="n">
        <x:v>51</x:v>
      </x:c>
      <x:c r="B256" s="14" t="n">
        <x:v>5</x:v>
      </x:c>
      <x:c r="C256" s="14" t="n">
        <x:v>1</x:v>
      </x:c>
      <x:c r="D256" s="15" t="n">
        <x:f>IF(AND(C256=1,INDEX('Respondents'!$C$2:$C$121,MATCH(A256,'Respondents'!$A$2:$A$121,0))&gt;=INDEX('Strategies'!$C$2:$C$6,MATCH(B256,'Strategies'!$A$2:$A$6,0))),1,0)</x:f>
        <x:v>0</x:v>
      </x:c>
      <x:c r="E256" s="15" t="n">
        <x:f>INDEX('Respondents'!$B$2:$B$121,MATCH(A256,'Respondents'!$A$2:$A$121,0))</x:f>
        <x:v>2</x:v>
      </x:c>
    </x:row>
    <x:row r="257">
      <x:c r="A257" s="14" t="n">
        <x:v>52</x:v>
      </x:c>
      <x:c r="B257" s="14" t="n">
        <x:v>1</x:v>
      </x:c>
      <x:c r="C257" s="14" t="n">
        <x:v>0</x:v>
      </x:c>
      <x:c r="D257" s="15" t="n">
        <x:f>IF(AND(C257=1,INDEX('Respondents'!$C$2:$C$121,MATCH(A257,'Respondents'!$A$2:$A$121,0))&gt;=INDEX('Strategies'!$C$2:$C$6,MATCH(B257,'Strategies'!$A$2:$A$6,0))),1,0)</x:f>
        <x:v>0</x:v>
      </x:c>
      <x:c r="E257" s="15" t="n">
        <x:f>INDEX('Respondents'!$B$2:$B$121,MATCH(A257,'Respondents'!$A$2:$A$121,0))</x:f>
        <x:v>2</x:v>
      </x:c>
    </x:row>
    <x:row r="258">
      <x:c r="A258" s="14" t="n">
        <x:v>52</x:v>
      </x:c>
      <x:c r="B258" s="14" t="n">
        <x:v>2</x:v>
      </x:c>
      <x:c r="C258" s="14" t="n">
        <x:v>1</x:v>
      </x:c>
      <x:c r="D258" s="15" t="n">
        <x:f>IF(AND(C258=1,INDEX('Respondents'!$C$2:$C$121,MATCH(A258,'Respondents'!$A$2:$A$121,0))&gt;=INDEX('Strategies'!$C$2:$C$6,MATCH(B258,'Strategies'!$A$2:$A$6,0))),1,0)</x:f>
        <x:v>1</x:v>
      </x:c>
      <x:c r="E258" s="15" t="n">
        <x:f>INDEX('Respondents'!$B$2:$B$121,MATCH(A258,'Respondents'!$A$2:$A$121,0))</x:f>
        <x:v>2</x:v>
      </x:c>
    </x:row>
    <x:row r="259">
      <x:c r="A259" s="14" t="n">
        <x:v>52</x:v>
      </x:c>
      <x:c r="B259" s="14" t="n">
        <x:v>3</x:v>
      </x:c>
      <x:c r="C259" s="14" t="n">
        <x:v>1</x:v>
      </x:c>
      <x:c r="D259" s="15" t="n">
        <x:f>IF(AND(C259=1,INDEX('Respondents'!$C$2:$C$121,MATCH(A259,'Respondents'!$A$2:$A$121,0))&gt;=INDEX('Strategies'!$C$2:$C$6,MATCH(B259,'Strategies'!$A$2:$A$6,0))),1,0)</x:f>
        <x:v>0</x:v>
      </x:c>
      <x:c r="E259" s="15" t="n">
        <x:f>INDEX('Respondents'!$B$2:$B$121,MATCH(A259,'Respondents'!$A$2:$A$121,0))</x:f>
        <x:v>2</x:v>
      </x:c>
    </x:row>
    <x:row r="260">
      <x:c r="A260" s="14" t="n">
        <x:v>52</x:v>
      </x:c>
      <x:c r="B260" s="14" t="n">
        <x:v>4</x:v>
      </x:c>
      <x:c r="C260" s="14" t="n">
        <x:v>1</x:v>
      </x:c>
      <x:c r="D260" s="15" t="n">
        <x:f>IF(AND(C260=1,INDEX('Respondents'!$C$2:$C$121,MATCH(A260,'Respondents'!$A$2:$A$121,0))&gt;=INDEX('Strategies'!$C$2:$C$6,MATCH(B260,'Strategies'!$A$2:$A$6,0))),1,0)</x:f>
        <x:v>1</x:v>
      </x:c>
      <x:c r="E260" s="15" t="n">
        <x:f>INDEX('Respondents'!$B$2:$B$121,MATCH(A260,'Respondents'!$A$2:$A$121,0))</x:f>
        <x:v>2</x:v>
      </x:c>
    </x:row>
    <x:row r="261">
      <x:c r="A261" s="14" t="n">
        <x:v>52</x:v>
      </x:c>
      <x:c r="B261" s="14" t="n">
        <x:v>5</x:v>
      </x:c>
      <x:c r="C261" s="14" t="n">
        <x:v>1</x:v>
      </x:c>
      <x:c r="D261" s="15" t="n">
        <x:f>IF(AND(C261=1,INDEX('Respondents'!$C$2:$C$121,MATCH(A261,'Respondents'!$A$2:$A$121,0))&gt;=INDEX('Strategies'!$C$2:$C$6,MATCH(B261,'Strategies'!$A$2:$A$6,0))),1,0)</x:f>
        <x:v>0</x:v>
      </x:c>
      <x:c r="E261" s="15" t="n">
        <x:f>INDEX('Respondents'!$B$2:$B$121,MATCH(A261,'Respondents'!$A$2:$A$121,0))</x:f>
        <x:v>2</x:v>
      </x:c>
    </x:row>
    <x:row r="262">
      <x:c r="A262" s="14" t="n">
        <x:v>53</x:v>
      </x:c>
      <x:c r="B262" s="14" t="n">
        <x:v>1</x:v>
      </x:c>
      <x:c r="C262" s="14" t="n">
        <x:v>0</x:v>
      </x:c>
      <x:c r="D262" s="15" t="n">
        <x:f>IF(AND(C262=1,INDEX('Respondents'!$C$2:$C$121,MATCH(A262,'Respondents'!$A$2:$A$121,0))&gt;=INDEX('Strategies'!$C$2:$C$6,MATCH(B262,'Strategies'!$A$2:$A$6,0))),1,0)</x:f>
        <x:v>0</x:v>
      </x:c>
      <x:c r="E262" s="15" t="n">
        <x:f>INDEX('Respondents'!$B$2:$B$121,MATCH(A262,'Respondents'!$A$2:$A$121,0))</x:f>
        <x:v>2</x:v>
      </x:c>
    </x:row>
    <x:row r="263">
      <x:c r="A263" s="14" t="n">
        <x:v>53</x:v>
      </x:c>
      <x:c r="B263" s="14" t="n">
        <x:v>2</x:v>
      </x:c>
      <x:c r="C263" s="14" t="n">
        <x:v>0</x:v>
      </x:c>
      <x:c r="D263" s="15" t="n">
        <x:f>IF(AND(C263=1,INDEX('Respondents'!$C$2:$C$121,MATCH(A263,'Respondents'!$A$2:$A$121,0))&gt;=INDEX('Strategies'!$C$2:$C$6,MATCH(B263,'Strategies'!$A$2:$A$6,0))),1,0)</x:f>
        <x:v>0</x:v>
      </x:c>
      <x:c r="E263" s="15" t="n">
        <x:f>INDEX('Respondents'!$B$2:$B$121,MATCH(A263,'Respondents'!$A$2:$A$121,0))</x:f>
        <x:v>2</x:v>
      </x:c>
    </x:row>
    <x:row r="264">
      <x:c r="A264" s="14" t="n">
        <x:v>53</x:v>
      </x:c>
      <x:c r="B264" s="14" t="n">
        <x:v>3</x:v>
      </x:c>
      <x:c r="C264" s="14" t="n">
        <x:v>1</x:v>
      </x:c>
      <x:c r="D264" s="15" t="n">
        <x:f>IF(AND(C264=1,INDEX('Respondents'!$C$2:$C$121,MATCH(A264,'Respondents'!$A$2:$A$121,0))&gt;=INDEX('Strategies'!$C$2:$C$6,MATCH(B264,'Strategies'!$A$2:$A$6,0))),1,0)</x:f>
        <x:v>0</x:v>
      </x:c>
      <x:c r="E264" s="15" t="n">
        <x:f>INDEX('Respondents'!$B$2:$B$121,MATCH(A264,'Respondents'!$A$2:$A$121,0))</x:f>
        <x:v>2</x:v>
      </x:c>
    </x:row>
    <x:row r="265">
      <x:c r="A265" s="14" t="n">
        <x:v>53</x:v>
      </x:c>
      <x:c r="B265" s="14" t="n">
        <x:v>4</x:v>
      </x:c>
      <x:c r="C265" s="14" t="n">
        <x:v>1</x:v>
      </x:c>
      <x:c r="D265" s="15" t="n">
        <x:f>IF(AND(C265=1,INDEX('Respondents'!$C$2:$C$121,MATCH(A265,'Respondents'!$A$2:$A$121,0))&gt;=INDEX('Strategies'!$C$2:$C$6,MATCH(B265,'Strategies'!$A$2:$A$6,0))),1,0)</x:f>
        <x:v>0</x:v>
      </x:c>
      <x:c r="E265" s="15" t="n">
        <x:f>INDEX('Respondents'!$B$2:$B$121,MATCH(A265,'Respondents'!$A$2:$A$121,0))</x:f>
        <x:v>2</x:v>
      </x:c>
    </x:row>
    <x:row r="266">
      <x:c r="A266" s="14" t="n">
        <x:v>53</x:v>
      </x:c>
      <x:c r="B266" s="14" t="n">
        <x:v>5</x:v>
      </x:c>
      <x:c r="C266" s="14" t="n">
        <x:v>1</x:v>
      </x:c>
      <x:c r="D266" s="15" t="n">
        <x:f>IF(AND(C266=1,INDEX('Respondents'!$C$2:$C$121,MATCH(A266,'Respondents'!$A$2:$A$121,0))&gt;=INDEX('Strategies'!$C$2:$C$6,MATCH(B266,'Strategies'!$A$2:$A$6,0))),1,0)</x:f>
        <x:v>0</x:v>
      </x:c>
      <x:c r="E266" s="15" t="n">
        <x:f>INDEX('Respondents'!$B$2:$B$121,MATCH(A266,'Respondents'!$A$2:$A$121,0))</x:f>
        <x:v>2</x:v>
      </x:c>
    </x:row>
    <x:row r="267">
      <x:c r="A267" s="14" t="n">
        <x:v>54</x:v>
      </x:c>
      <x:c r="B267" s="14" t="n">
        <x:v>1</x:v>
      </x:c>
      <x:c r="C267" s="14" t="n">
        <x:v>1</x:v>
      </x:c>
      <x:c r="D267" s="15" t="n">
        <x:f>IF(AND(C267=1,INDEX('Respondents'!$C$2:$C$121,MATCH(A267,'Respondents'!$A$2:$A$121,0))&gt;=INDEX('Strategies'!$C$2:$C$6,MATCH(B267,'Strategies'!$A$2:$A$6,0))),1,0)</x:f>
        <x:v>0</x:v>
      </x:c>
      <x:c r="E267" s="15" t="n">
        <x:f>INDEX('Respondents'!$B$2:$B$121,MATCH(A267,'Respondents'!$A$2:$A$121,0))</x:f>
        <x:v>2</x:v>
      </x:c>
    </x:row>
    <x:row r="268">
      <x:c r="A268" s="14" t="n">
        <x:v>54</x:v>
      </x:c>
      <x:c r="B268" s="14" t="n">
        <x:v>2</x:v>
      </x:c>
      <x:c r="C268" s="14" t="n">
        <x:v>1</x:v>
      </x:c>
      <x:c r="D268" s="15" t="n">
        <x:f>IF(AND(C268=1,INDEX('Respondents'!$C$2:$C$121,MATCH(A268,'Respondents'!$A$2:$A$121,0))&gt;=INDEX('Strategies'!$C$2:$C$6,MATCH(B268,'Strategies'!$A$2:$A$6,0))),1,0)</x:f>
        <x:v>1</x:v>
      </x:c>
      <x:c r="E268" s="15" t="n">
        <x:f>INDEX('Respondents'!$B$2:$B$121,MATCH(A268,'Respondents'!$A$2:$A$121,0))</x:f>
        <x:v>2</x:v>
      </x:c>
    </x:row>
    <x:row r="269">
      <x:c r="A269" s="14" t="n">
        <x:v>54</x:v>
      </x:c>
      <x:c r="B269" s="14" t="n">
        <x:v>3</x:v>
      </x:c>
      <x:c r="C269" s="14" t="n">
        <x:v>1</x:v>
      </x:c>
      <x:c r="D269" s="15" t="n">
        <x:f>IF(AND(C269=1,INDEX('Respondents'!$C$2:$C$121,MATCH(A269,'Respondents'!$A$2:$A$121,0))&gt;=INDEX('Strategies'!$C$2:$C$6,MATCH(B269,'Strategies'!$A$2:$A$6,0))),1,0)</x:f>
        <x:v>0</x:v>
      </x:c>
      <x:c r="E269" s="15" t="n">
        <x:f>INDEX('Respondents'!$B$2:$B$121,MATCH(A269,'Respondents'!$A$2:$A$121,0))</x:f>
        <x:v>2</x:v>
      </x:c>
    </x:row>
    <x:row r="270">
      <x:c r="A270" s="14" t="n">
        <x:v>54</x:v>
      </x:c>
      <x:c r="B270" s="14" t="n">
        <x:v>4</x:v>
      </x:c>
      <x:c r="C270" s="14" t="n">
        <x:v>1</x:v>
      </x:c>
      <x:c r="D270" s="15" t="n">
        <x:f>IF(AND(C270=1,INDEX('Respondents'!$C$2:$C$121,MATCH(A270,'Respondents'!$A$2:$A$121,0))&gt;=INDEX('Strategies'!$C$2:$C$6,MATCH(B270,'Strategies'!$A$2:$A$6,0))),1,0)</x:f>
        <x:v>1</x:v>
      </x:c>
      <x:c r="E270" s="15" t="n">
        <x:f>INDEX('Respondents'!$B$2:$B$121,MATCH(A270,'Respondents'!$A$2:$A$121,0))</x:f>
        <x:v>2</x:v>
      </x:c>
    </x:row>
    <x:row r="271">
      <x:c r="A271" s="14" t="n">
        <x:v>54</x:v>
      </x:c>
      <x:c r="B271" s="14" t="n">
        <x:v>5</x:v>
      </x:c>
      <x:c r="C271" s="14" t="n">
        <x:v>1</x:v>
      </x:c>
      <x:c r="D271" s="15" t="n">
        <x:f>IF(AND(C271=1,INDEX('Respondents'!$C$2:$C$121,MATCH(A271,'Respondents'!$A$2:$A$121,0))&gt;=INDEX('Strategies'!$C$2:$C$6,MATCH(B271,'Strategies'!$A$2:$A$6,0))),1,0)</x:f>
        <x:v>0</x:v>
      </x:c>
      <x:c r="E271" s="15" t="n">
        <x:f>INDEX('Respondents'!$B$2:$B$121,MATCH(A271,'Respondents'!$A$2:$A$121,0))</x:f>
        <x:v>2</x:v>
      </x:c>
    </x:row>
    <x:row r="272">
      <x:c r="A272" s="14" t="n">
        <x:v>55</x:v>
      </x:c>
      <x:c r="B272" s="14" t="n">
        <x:v>1</x:v>
      </x:c>
      <x:c r="C272" s="14" t="n">
        <x:v>1</x:v>
      </x:c>
      <x:c r="D272" s="15" t="n">
        <x:f>IF(AND(C272=1,INDEX('Respondents'!$C$2:$C$121,MATCH(A272,'Respondents'!$A$2:$A$121,0))&gt;=INDEX('Strategies'!$C$2:$C$6,MATCH(B272,'Strategies'!$A$2:$A$6,0))),1,0)</x:f>
        <x:v>0</x:v>
      </x:c>
      <x:c r="E272" s="15" t="n">
        <x:f>INDEX('Respondents'!$B$2:$B$121,MATCH(A272,'Respondents'!$A$2:$A$121,0))</x:f>
        <x:v>2</x:v>
      </x:c>
    </x:row>
    <x:row r="273">
      <x:c r="A273" s="14" t="n">
        <x:v>55</x:v>
      </x:c>
      <x:c r="B273" s="14" t="n">
        <x:v>2</x:v>
      </x:c>
      <x:c r="C273" s="14" t="n">
        <x:v>1</x:v>
      </x:c>
      <x:c r="D273" s="15" t="n">
        <x:f>IF(AND(C273=1,INDEX('Respondents'!$C$2:$C$121,MATCH(A273,'Respondents'!$A$2:$A$121,0))&gt;=INDEX('Strategies'!$C$2:$C$6,MATCH(B273,'Strategies'!$A$2:$A$6,0))),1,0)</x:f>
        <x:v>0</x:v>
      </x:c>
      <x:c r="E273" s="15" t="n">
        <x:f>INDEX('Respondents'!$B$2:$B$121,MATCH(A273,'Respondents'!$A$2:$A$121,0))</x:f>
        <x:v>2</x:v>
      </x:c>
    </x:row>
    <x:row r="274">
      <x:c r="A274" s="14" t="n">
        <x:v>55</x:v>
      </x:c>
      <x:c r="B274" s="14" t="n">
        <x:v>3</x:v>
      </x:c>
      <x:c r="C274" s="14" t="n">
        <x:v>1</x:v>
      </x:c>
      <x:c r="D274" s="15" t="n">
        <x:f>IF(AND(C274=1,INDEX('Respondents'!$C$2:$C$121,MATCH(A274,'Respondents'!$A$2:$A$121,0))&gt;=INDEX('Strategies'!$C$2:$C$6,MATCH(B274,'Strategies'!$A$2:$A$6,0))),1,0)</x:f>
        <x:v>0</x:v>
      </x:c>
      <x:c r="E274" s="15" t="n">
        <x:f>INDEX('Respondents'!$B$2:$B$121,MATCH(A274,'Respondents'!$A$2:$A$121,0))</x:f>
        <x:v>2</x:v>
      </x:c>
    </x:row>
    <x:row r="275">
      <x:c r="A275" s="14" t="n">
        <x:v>55</x:v>
      </x:c>
      <x:c r="B275" s="14" t="n">
        <x:v>4</x:v>
      </x:c>
      <x:c r="C275" s="14" t="n">
        <x:v>1</x:v>
      </x:c>
      <x:c r="D275" s="15" t="n">
        <x:f>IF(AND(C275=1,INDEX('Respondents'!$C$2:$C$121,MATCH(A275,'Respondents'!$A$2:$A$121,0))&gt;=INDEX('Strategies'!$C$2:$C$6,MATCH(B275,'Strategies'!$A$2:$A$6,0))),1,0)</x:f>
        <x:v>0</x:v>
      </x:c>
      <x:c r="E275" s="15" t="n">
        <x:f>INDEX('Respondents'!$B$2:$B$121,MATCH(A275,'Respondents'!$A$2:$A$121,0))</x:f>
        <x:v>2</x:v>
      </x:c>
    </x:row>
    <x:row r="276">
      <x:c r="A276" s="14" t="n">
        <x:v>55</x:v>
      </x:c>
      <x:c r="B276" s="14" t="n">
        <x:v>5</x:v>
      </x:c>
      <x:c r="C276" s="14" t="n">
        <x:v>0</x:v>
      </x:c>
      <x:c r="D276" s="15" t="n">
        <x:f>IF(AND(C276=1,INDEX('Respondents'!$C$2:$C$121,MATCH(A276,'Respondents'!$A$2:$A$121,0))&gt;=INDEX('Strategies'!$C$2:$C$6,MATCH(B276,'Strategies'!$A$2:$A$6,0))),1,0)</x:f>
        <x:v>0</x:v>
      </x:c>
      <x:c r="E276" s="15" t="n">
        <x:f>INDEX('Respondents'!$B$2:$B$121,MATCH(A276,'Respondents'!$A$2:$A$121,0))</x:f>
        <x:v>2</x:v>
      </x:c>
    </x:row>
    <x:row r="277">
      <x:c r="A277" s="14" t="n">
        <x:v>56</x:v>
      </x:c>
      <x:c r="B277" s="14" t="n">
        <x:v>1</x:v>
      </x:c>
      <x:c r="C277" s="14" t="n">
        <x:v>0</x:v>
      </x:c>
      <x:c r="D277" s="15" t="n">
        <x:f>IF(AND(C277=1,INDEX('Respondents'!$C$2:$C$121,MATCH(A277,'Respondents'!$A$2:$A$121,0))&gt;=INDEX('Strategies'!$C$2:$C$6,MATCH(B277,'Strategies'!$A$2:$A$6,0))),1,0)</x:f>
        <x:v>0</x:v>
      </x:c>
      <x:c r="E277" s="15" t="n">
        <x:f>INDEX('Respondents'!$B$2:$B$121,MATCH(A277,'Respondents'!$A$2:$A$121,0))</x:f>
        <x:v>2</x:v>
      </x:c>
    </x:row>
    <x:row r="278">
      <x:c r="A278" s="14" t="n">
        <x:v>56</x:v>
      </x:c>
      <x:c r="B278" s="14" t="n">
        <x:v>2</x:v>
      </x:c>
      <x:c r="C278" s="14" t="n">
        <x:v>1</x:v>
      </x:c>
      <x:c r="D278" s="15" t="n">
        <x:f>IF(AND(C278=1,INDEX('Respondents'!$C$2:$C$121,MATCH(A278,'Respondents'!$A$2:$A$121,0))&gt;=INDEX('Strategies'!$C$2:$C$6,MATCH(B278,'Strategies'!$A$2:$A$6,0))),1,0)</x:f>
        <x:v>0</x:v>
      </x:c>
      <x:c r="E278" s="15" t="n">
        <x:f>INDEX('Respondents'!$B$2:$B$121,MATCH(A278,'Respondents'!$A$2:$A$121,0))</x:f>
        <x:v>2</x:v>
      </x:c>
    </x:row>
    <x:row r="279">
      <x:c r="A279" s="14" t="n">
        <x:v>56</x:v>
      </x:c>
      <x:c r="B279" s="14" t="n">
        <x:v>3</x:v>
      </x:c>
      <x:c r="C279" s="14" t="n">
        <x:v>0</x:v>
      </x:c>
      <x:c r="D279" s="15" t="n">
        <x:f>IF(AND(C279=1,INDEX('Respondents'!$C$2:$C$121,MATCH(A279,'Respondents'!$A$2:$A$121,0))&gt;=INDEX('Strategies'!$C$2:$C$6,MATCH(B279,'Strategies'!$A$2:$A$6,0))),1,0)</x:f>
        <x:v>0</x:v>
      </x:c>
      <x:c r="E279" s="15" t="n">
        <x:f>INDEX('Respondents'!$B$2:$B$121,MATCH(A279,'Respondents'!$A$2:$A$121,0))</x:f>
        <x:v>2</x:v>
      </x:c>
    </x:row>
    <x:row r="280">
      <x:c r="A280" s="14" t="n">
        <x:v>56</x:v>
      </x:c>
      <x:c r="B280" s="14" t="n">
        <x:v>4</x:v>
      </x:c>
      <x:c r="C280" s="14" t="n">
        <x:v>1</x:v>
      </x:c>
      <x:c r="D280" s="15" t="n">
        <x:f>IF(AND(C280=1,INDEX('Respondents'!$C$2:$C$121,MATCH(A280,'Respondents'!$A$2:$A$121,0))&gt;=INDEX('Strategies'!$C$2:$C$6,MATCH(B280,'Strategies'!$A$2:$A$6,0))),1,0)</x:f>
        <x:v>1</x:v>
      </x:c>
      <x:c r="E280" s="15" t="n">
        <x:f>INDEX('Respondents'!$B$2:$B$121,MATCH(A280,'Respondents'!$A$2:$A$121,0))</x:f>
        <x:v>2</x:v>
      </x:c>
    </x:row>
    <x:row r="281">
      <x:c r="A281" s="14" t="n">
        <x:v>56</x:v>
      </x:c>
      <x:c r="B281" s="14" t="n">
        <x:v>5</x:v>
      </x:c>
      <x:c r="C281" s="14" t="n">
        <x:v>1</x:v>
      </x:c>
      <x:c r="D281" s="15" t="n">
        <x:f>IF(AND(C281=1,INDEX('Respondents'!$C$2:$C$121,MATCH(A281,'Respondents'!$A$2:$A$121,0))&gt;=INDEX('Strategies'!$C$2:$C$6,MATCH(B281,'Strategies'!$A$2:$A$6,0))),1,0)</x:f>
        <x:v>0</x:v>
      </x:c>
      <x:c r="E281" s="15" t="n">
        <x:f>INDEX('Respondents'!$B$2:$B$121,MATCH(A281,'Respondents'!$A$2:$A$121,0))</x:f>
        <x:v>2</x:v>
      </x:c>
    </x:row>
    <x:row r="282">
      <x:c r="A282" s="14" t="n">
        <x:v>57</x:v>
      </x:c>
      <x:c r="B282" s="14" t="n">
        <x:v>1</x:v>
      </x:c>
      <x:c r="C282" s="14" t="n">
        <x:v>0</x:v>
      </x:c>
      <x:c r="D282" s="15" t="n">
        <x:f>IF(AND(C282=1,INDEX('Respondents'!$C$2:$C$121,MATCH(A282,'Respondents'!$A$2:$A$121,0))&gt;=INDEX('Strategies'!$C$2:$C$6,MATCH(B282,'Strategies'!$A$2:$A$6,0))),1,0)</x:f>
        <x:v>0</x:v>
      </x:c>
      <x:c r="E282" s="15" t="n">
        <x:f>INDEX('Respondents'!$B$2:$B$121,MATCH(A282,'Respondents'!$A$2:$A$121,0))</x:f>
        <x:v>2</x:v>
      </x:c>
    </x:row>
    <x:row r="283">
      <x:c r="A283" s="14" t="n">
        <x:v>57</x:v>
      </x:c>
      <x:c r="B283" s="14" t="n">
        <x:v>2</x:v>
      </x:c>
      <x:c r="C283" s="14" t="n">
        <x:v>1</x:v>
      </x:c>
      <x:c r="D283" s="15" t="n">
        <x:f>IF(AND(C283=1,INDEX('Respondents'!$C$2:$C$121,MATCH(A283,'Respondents'!$A$2:$A$121,0))&gt;=INDEX('Strategies'!$C$2:$C$6,MATCH(B283,'Strategies'!$A$2:$A$6,0))),1,0)</x:f>
        <x:v>0</x:v>
      </x:c>
      <x:c r="E283" s="15" t="n">
        <x:f>INDEX('Respondents'!$B$2:$B$121,MATCH(A283,'Respondents'!$A$2:$A$121,0))</x:f>
        <x:v>2</x:v>
      </x:c>
    </x:row>
    <x:row r="284">
      <x:c r="A284" s="14" t="n">
        <x:v>57</x:v>
      </x:c>
      <x:c r="B284" s="14" t="n">
        <x:v>3</x:v>
      </x:c>
      <x:c r="C284" s="14" t="n">
        <x:v>1</x:v>
      </x:c>
      <x:c r="D284" s="15" t="n">
        <x:f>IF(AND(C284=1,INDEX('Respondents'!$C$2:$C$121,MATCH(A284,'Respondents'!$A$2:$A$121,0))&gt;=INDEX('Strategies'!$C$2:$C$6,MATCH(B284,'Strategies'!$A$2:$A$6,0))),1,0)</x:f>
        <x:v>0</x:v>
      </x:c>
      <x:c r="E284" s="15" t="n">
        <x:f>INDEX('Respondents'!$B$2:$B$121,MATCH(A284,'Respondents'!$A$2:$A$121,0))</x:f>
        <x:v>2</x:v>
      </x:c>
    </x:row>
    <x:row r="285">
      <x:c r="A285" s="14" t="n">
        <x:v>57</x:v>
      </x:c>
      <x:c r="B285" s="14" t="n">
        <x:v>4</x:v>
      </x:c>
      <x:c r="C285" s="14" t="n">
        <x:v>1</x:v>
      </x:c>
      <x:c r="D285" s="15" t="n">
        <x:f>IF(AND(C285=1,INDEX('Respondents'!$C$2:$C$121,MATCH(A285,'Respondents'!$A$2:$A$121,0))&gt;=INDEX('Strategies'!$C$2:$C$6,MATCH(B285,'Strategies'!$A$2:$A$6,0))),1,0)</x:f>
        <x:v>1</x:v>
      </x:c>
      <x:c r="E285" s="15" t="n">
        <x:f>INDEX('Respondents'!$B$2:$B$121,MATCH(A285,'Respondents'!$A$2:$A$121,0))</x:f>
        <x:v>2</x:v>
      </x:c>
    </x:row>
    <x:row r="286">
      <x:c r="A286" s="14" t="n">
        <x:v>57</x:v>
      </x:c>
      <x:c r="B286" s="14" t="n">
        <x:v>5</x:v>
      </x:c>
      <x:c r="C286" s="14" t="n">
        <x:v>1</x:v>
      </x:c>
      <x:c r="D286" s="15" t="n">
        <x:f>IF(AND(C286=1,INDEX('Respondents'!$C$2:$C$121,MATCH(A286,'Respondents'!$A$2:$A$121,0))&gt;=INDEX('Strategies'!$C$2:$C$6,MATCH(B286,'Strategies'!$A$2:$A$6,0))),1,0)</x:f>
        <x:v>0</x:v>
      </x:c>
      <x:c r="E286" s="15" t="n">
        <x:f>INDEX('Respondents'!$B$2:$B$121,MATCH(A286,'Respondents'!$A$2:$A$121,0))</x:f>
        <x:v>2</x:v>
      </x:c>
    </x:row>
    <x:row r="287">
      <x:c r="A287" s="14" t="n">
        <x:v>58</x:v>
      </x:c>
      <x:c r="B287" s="14" t="n">
        <x:v>1</x:v>
      </x:c>
      <x:c r="C287" s="14" t="n">
        <x:v>1</x:v>
      </x:c>
      <x:c r="D287" s="15" t="n">
        <x:f>IF(AND(C287=1,INDEX('Respondents'!$C$2:$C$121,MATCH(A287,'Respondents'!$A$2:$A$121,0))&gt;=INDEX('Strategies'!$C$2:$C$6,MATCH(B287,'Strategies'!$A$2:$A$6,0))),1,0)</x:f>
        <x:v>0</x:v>
      </x:c>
      <x:c r="E287" s="15" t="n">
        <x:f>INDEX('Respondents'!$B$2:$B$121,MATCH(A287,'Respondents'!$A$2:$A$121,0))</x:f>
        <x:v>2</x:v>
      </x:c>
    </x:row>
    <x:row r="288">
      <x:c r="A288" s="14" t="n">
        <x:v>58</x:v>
      </x:c>
      <x:c r="B288" s="14" t="n">
        <x:v>2</x:v>
      </x:c>
      <x:c r="C288" s="14" t="n">
        <x:v>0</x:v>
      </x:c>
      <x:c r="D288" s="15" t="n">
        <x:f>IF(AND(C288=1,INDEX('Respondents'!$C$2:$C$121,MATCH(A288,'Respondents'!$A$2:$A$121,0))&gt;=INDEX('Strategies'!$C$2:$C$6,MATCH(B288,'Strategies'!$A$2:$A$6,0))),1,0)</x:f>
        <x:v>0</x:v>
      </x:c>
      <x:c r="E288" s="15" t="n">
        <x:f>INDEX('Respondents'!$B$2:$B$121,MATCH(A288,'Respondents'!$A$2:$A$121,0))</x:f>
        <x:v>2</x:v>
      </x:c>
    </x:row>
    <x:row r="289">
      <x:c r="A289" s="14" t="n">
        <x:v>58</x:v>
      </x:c>
      <x:c r="B289" s="14" t="n">
        <x:v>3</x:v>
      </x:c>
      <x:c r="C289" s="14" t="n">
        <x:v>1</x:v>
      </x:c>
      <x:c r="D289" s="15" t="n">
        <x:f>IF(AND(C289=1,INDEX('Respondents'!$C$2:$C$121,MATCH(A289,'Respondents'!$A$2:$A$121,0))&gt;=INDEX('Strategies'!$C$2:$C$6,MATCH(B289,'Strategies'!$A$2:$A$6,0))),1,0)</x:f>
        <x:v>0</x:v>
      </x:c>
      <x:c r="E289" s="15" t="n">
        <x:f>INDEX('Respondents'!$B$2:$B$121,MATCH(A289,'Respondents'!$A$2:$A$121,0))</x:f>
        <x:v>2</x:v>
      </x:c>
    </x:row>
    <x:row r="290">
      <x:c r="A290" s="14" t="n">
        <x:v>58</x:v>
      </x:c>
      <x:c r="B290" s="14" t="n">
        <x:v>4</x:v>
      </x:c>
      <x:c r="C290" s="14" t="n">
        <x:v>1</x:v>
      </x:c>
      <x:c r="D290" s="15" t="n">
        <x:f>IF(AND(C290=1,INDEX('Respondents'!$C$2:$C$121,MATCH(A290,'Respondents'!$A$2:$A$121,0))&gt;=INDEX('Strategies'!$C$2:$C$6,MATCH(B290,'Strategies'!$A$2:$A$6,0))),1,0)</x:f>
        <x:v>1</x:v>
      </x:c>
      <x:c r="E290" s="15" t="n">
        <x:f>INDEX('Respondents'!$B$2:$B$121,MATCH(A290,'Respondents'!$A$2:$A$121,0))</x:f>
        <x:v>2</x:v>
      </x:c>
    </x:row>
    <x:row r="291">
      <x:c r="A291" s="14" t="n">
        <x:v>58</x:v>
      </x:c>
      <x:c r="B291" s="14" t="n">
        <x:v>5</x:v>
      </x:c>
      <x:c r="C291" s="14" t="n">
        <x:v>1</x:v>
      </x:c>
      <x:c r="D291" s="15" t="n">
        <x:f>IF(AND(C291=1,INDEX('Respondents'!$C$2:$C$121,MATCH(A291,'Respondents'!$A$2:$A$121,0))&gt;=INDEX('Strategies'!$C$2:$C$6,MATCH(B291,'Strategies'!$A$2:$A$6,0))),1,0)</x:f>
        <x:v>0</x:v>
      </x:c>
      <x:c r="E291" s="15" t="n">
        <x:f>INDEX('Respondents'!$B$2:$B$121,MATCH(A291,'Respondents'!$A$2:$A$121,0))</x:f>
        <x:v>2</x:v>
      </x:c>
    </x:row>
    <x:row r="292">
      <x:c r="A292" s="14" t="n">
        <x:v>59</x:v>
      </x:c>
      <x:c r="B292" s="14" t="n">
        <x:v>1</x:v>
      </x:c>
      <x:c r="C292" s="14" t="n">
        <x:v>1</x:v>
      </x:c>
      <x:c r="D292" s="15" t="n">
        <x:f>IF(AND(C292=1,INDEX('Respondents'!$C$2:$C$121,MATCH(A292,'Respondents'!$A$2:$A$121,0))&gt;=INDEX('Strategies'!$C$2:$C$6,MATCH(B292,'Strategies'!$A$2:$A$6,0))),1,0)</x:f>
        <x:v>0</x:v>
      </x:c>
      <x:c r="E292" s="15" t="n">
        <x:f>INDEX('Respondents'!$B$2:$B$121,MATCH(A292,'Respondents'!$A$2:$A$121,0))</x:f>
        <x:v>2</x:v>
      </x:c>
    </x:row>
    <x:row r="293">
      <x:c r="A293" s="14" t="n">
        <x:v>59</x:v>
      </x:c>
      <x:c r="B293" s="14" t="n">
        <x:v>2</x:v>
      </x:c>
      <x:c r="C293" s="14" t="n">
        <x:v>1</x:v>
      </x:c>
      <x:c r="D293" s="15" t="n">
        <x:f>IF(AND(C293=1,INDEX('Respondents'!$C$2:$C$121,MATCH(A293,'Respondents'!$A$2:$A$121,0))&gt;=INDEX('Strategies'!$C$2:$C$6,MATCH(B293,'Strategies'!$A$2:$A$6,0))),1,0)</x:f>
        <x:v>0</x:v>
      </x:c>
      <x:c r="E293" s="15" t="n">
        <x:f>INDEX('Respondents'!$B$2:$B$121,MATCH(A293,'Respondents'!$A$2:$A$121,0))</x:f>
        <x:v>2</x:v>
      </x:c>
    </x:row>
    <x:row r="294">
      <x:c r="A294" s="14" t="n">
        <x:v>59</x:v>
      </x:c>
      <x:c r="B294" s="14" t="n">
        <x:v>3</x:v>
      </x:c>
      <x:c r="C294" s="14" t="n">
        <x:v>1</x:v>
      </x:c>
      <x:c r="D294" s="15" t="n">
        <x:f>IF(AND(C294=1,INDEX('Respondents'!$C$2:$C$121,MATCH(A294,'Respondents'!$A$2:$A$121,0))&gt;=INDEX('Strategies'!$C$2:$C$6,MATCH(B294,'Strategies'!$A$2:$A$6,0))),1,0)</x:f>
        <x:v>0</x:v>
      </x:c>
      <x:c r="E294" s="15" t="n">
        <x:f>INDEX('Respondents'!$B$2:$B$121,MATCH(A294,'Respondents'!$A$2:$A$121,0))</x:f>
        <x:v>2</x:v>
      </x:c>
    </x:row>
    <x:row r="295">
      <x:c r="A295" s="14" t="n">
        <x:v>59</x:v>
      </x:c>
      <x:c r="B295" s="14" t="n">
        <x:v>4</x:v>
      </x:c>
      <x:c r="C295" s="14" t="n">
        <x:v>1</x:v>
      </x:c>
      <x:c r="D295" s="15" t="n">
        <x:f>IF(AND(C295=1,INDEX('Respondents'!$C$2:$C$121,MATCH(A295,'Respondents'!$A$2:$A$121,0))&gt;=INDEX('Strategies'!$C$2:$C$6,MATCH(B295,'Strategies'!$A$2:$A$6,0))),1,0)</x:f>
        <x:v>0</x:v>
      </x:c>
      <x:c r="E295" s="15" t="n">
        <x:f>INDEX('Respondents'!$B$2:$B$121,MATCH(A295,'Respondents'!$A$2:$A$121,0))</x:f>
        <x:v>2</x:v>
      </x:c>
    </x:row>
    <x:row r="296">
      <x:c r="A296" s="14" t="n">
        <x:v>59</x:v>
      </x:c>
      <x:c r="B296" s="14" t="n">
        <x:v>5</x:v>
      </x:c>
      <x:c r="C296" s="14" t="n">
        <x:v>1</x:v>
      </x:c>
      <x:c r="D296" s="15" t="n">
        <x:f>IF(AND(C296=1,INDEX('Respondents'!$C$2:$C$121,MATCH(A296,'Respondents'!$A$2:$A$121,0))&gt;=INDEX('Strategies'!$C$2:$C$6,MATCH(B296,'Strategies'!$A$2:$A$6,0))),1,0)</x:f>
        <x:v>0</x:v>
      </x:c>
      <x:c r="E296" s="15" t="n">
        <x:f>INDEX('Respondents'!$B$2:$B$121,MATCH(A296,'Respondents'!$A$2:$A$121,0))</x:f>
        <x:v>2</x:v>
      </x:c>
    </x:row>
    <x:row r="297">
      <x:c r="A297" s="14" t="n">
        <x:v>60</x:v>
      </x:c>
      <x:c r="B297" s="14" t="n">
        <x:v>1</x:v>
      </x:c>
      <x:c r="C297" s="14" t="n">
        <x:v>1</x:v>
      </x:c>
      <x:c r="D297" s="15" t="n">
        <x:f>IF(AND(C297=1,INDEX('Respondents'!$C$2:$C$121,MATCH(A297,'Respondents'!$A$2:$A$121,0))&gt;=INDEX('Strategies'!$C$2:$C$6,MATCH(B297,'Strategies'!$A$2:$A$6,0))),1,0)</x:f>
        <x:v>0</x:v>
      </x:c>
      <x:c r="E297" s="15" t="n">
        <x:f>INDEX('Respondents'!$B$2:$B$121,MATCH(A297,'Respondents'!$A$2:$A$121,0))</x:f>
        <x:v>2</x:v>
      </x:c>
    </x:row>
    <x:row r="298">
      <x:c r="A298" s="14" t="n">
        <x:v>60</x:v>
      </x:c>
      <x:c r="B298" s="14" t="n">
        <x:v>2</x:v>
      </x:c>
      <x:c r="C298" s="14" t="n">
        <x:v>1</x:v>
      </x:c>
      <x:c r="D298" s="15" t="n">
        <x:f>IF(AND(C298=1,INDEX('Respondents'!$C$2:$C$121,MATCH(A298,'Respondents'!$A$2:$A$121,0))&gt;=INDEX('Strategies'!$C$2:$C$6,MATCH(B298,'Strategies'!$A$2:$A$6,0))),1,0)</x:f>
        <x:v>0</x:v>
      </x:c>
      <x:c r="E298" s="15" t="n">
        <x:f>INDEX('Respondents'!$B$2:$B$121,MATCH(A298,'Respondents'!$A$2:$A$121,0))</x:f>
        <x:v>2</x:v>
      </x:c>
    </x:row>
    <x:row r="299">
      <x:c r="A299" s="14" t="n">
        <x:v>60</x:v>
      </x:c>
      <x:c r="B299" s="14" t="n">
        <x:v>3</x:v>
      </x:c>
      <x:c r="C299" s="14" t="n">
        <x:v>1</x:v>
      </x:c>
      <x:c r="D299" s="15" t="n">
        <x:f>IF(AND(C299=1,INDEX('Respondents'!$C$2:$C$121,MATCH(A299,'Respondents'!$A$2:$A$121,0))&gt;=INDEX('Strategies'!$C$2:$C$6,MATCH(B299,'Strategies'!$A$2:$A$6,0))),1,0)</x:f>
        <x:v>0</x:v>
      </x:c>
      <x:c r="E299" s="15" t="n">
        <x:f>INDEX('Respondents'!$B$2:$B$121,MATCH(A299,'Respondents'!$A$2:$A$121,0))</x:f>
        <x:v>2</x:v>
      </x:c>
    </x:row>
    <x:row r="300">
      <x:c r="A300" s="14" t="n">
        <x:v>60</x:v>
      </x:c>
      <x:c r="B300" s="14" t="n">
        <x:v>4</x:v>
      </x:c>
      <x:c r="C300" s="14" t="n">
        <x:v>1</x:v>
      </x:c>
      <x:c r="D300" s="15" t="n">
        <x:f>IF(AND(C300=1,INDEX('Respondents'!$C$2:$C$121,MATCH(A300,'Respondents'!$A$2:$A$121,0))&gt;=INDEX('Strategies'!$C$2:$C$6,MATCH(B300,'Strategies'!$A$2:$A$6,0))),1,0)</x:f>
        <x:v>1</x:v>
      </x:c>
      <x:c r="E300" s="15" t="n">
        <x:f>INDEX('Respondents'!$B$2:$B$121,MATCH(A300,'Respondents'!$A$2:$A$121,0))</x:f>
        <x:v>2</x:v>
      </x:c>
    </x:row>
    <x:row r="301">
      <x:c r="A301" s="14" t="n">
        <x:v>60</x:v>
      </x:c>
      <x:c r="B301" s="14" t="n">
        <x:v>5</x:v>
      </x:c>
      <x:c r="C301" s="14" t="n">
        <x:v>1</x:v>
      </x:c>
      <x:c r="D301" s="15" t="n">
        <x:f>IF(AND(C301=1,INDEX('Respondents'!$C$2:$C$121,MATCH(A301,'Respondents'!$A$2:$A$121,0))&gt;=INDEX('Strategies'!$C$2:$C$6,MATCH(B301,'Strategies'!$A$2:$A$6,0))),1,0)</x:f>
        <x:v>0</x:v>
      </x:c>
      <x:c r="E301" s="15" t="n">
        <x:f>INDEX('Respondents'!$B$2:$B$121,MATCH(A301,'Respondents'!$A$2:$A$121,0))</x:f>
        <x:v>2</x:v>
      </x:c>
    </x:row>
    <x:row r="302">
      <x:c r="A302" s="14" t="n">
        <x:v>61</x:v>
      </x:c>
      <x:c r="B302" s="14" t="n">
        <x:v>1</x:v>
      </x:c>
      <x:c r="C302" s="14" t="n">
        <x:v>0</x:v>
      </x:c>
      <x:c r="D302" s="15" t="n">
        <x:f>IF(AND(C302=1,INDEX('Respondents'!$C$2:$C$121,MATCH(A302,'Respondents'!$A$2:$A$121,0))&gt;=INDEX('Strategies'!$C$2:$C$6,MATCH(B302,'Strategies'!$A$2:$A$6,0))),1,0)</x:f>
        <x:v>0</x:v>
      </x:c>
      <x:c r="E302" s="15" t="n">
        <x:f>INDEX('Respondents'!$B$2:$B$121,MATCH(A302,'Respondents'!$A$2:$A$121,0))</x:f>
        <x:v>3</x:v>
      </x:c>
    </x:row>
    <x:row r="303">
      <x:c r="A303" s="14" t="n">
        <x:v>61</x:v>
      </x:c>
      <x:c r="B303" s="14" t="n">
        <x:v>2</x:v>
      </x:c>
      <x:c r="C303" s="14" t="n">
        <x:v>1</x:v>
      </x:c>
      <x:c r="D303" s="15" t="n">
        <x:f>IF(AND(C303=1,INDEX('Respondents'!$C$2:$C$121,MATCH(A303,'Respondents'!$A$2:$A$121,0))&gt;=INDEX('Strategies'!$C$2:$C$6,MATCH(B303,'Strategies'!$A$2:$A$6,0))),1,0)</x:f>
        <x:v>1</x:v>
      </x:c>
      <x:c r="E303" s="15" t="n">
        <x:f>INDEX('Respondents'!$B$2:$B$121,MATCH(A303,'Respondents'!$A$2:$A$121,0))</x:f>
        <x:v>3</x:v>
      </x:c>
    </x:row>
    <x:row r="304">
      <x:c r="A304" s="14" t="n">
        <x:v>61</x:v>
      </x:c>
      <x:c r="B304" s="14" t="n">
        <x:v>3</x:v>
      </x:c>
      <x:c r="C304" s="14" t="n">
        <x:v>1</x:v>
      </x:c>
      <x:c r="D304" s="15" t="n">
        <x:f>IF(AND(C304=1,INDEX('Respondents'!$C$2:$C$121,MATCH(A304,'Respondents'!$A$2:$A$121,0))&gt;=INDEX('Strategies'!$C$2:$C$6,MATCH(B304,'Strategies'!$A$2:$A$6,0))),1,0)</x:f>
        <x:v>1</x:v>
      </x:c>
      <x:c r="E304" s="15" t="n">
        <x:f>INDEX('Respondents'!$B$2:$B$121,MATCH(A304,'Respondents'!$A$2:$A$121,0))</x:f>
        <x:v>3</x:v>
      </x:c>
    </x:row>
    <x:row r="305">
      <x:c r="A305" s="14" t="n">
        <x:v>61</x:v>
      </x:c>
      <x:c r="B305" s="14" t="n">
        <x:v>4</x:v>
      </x:c>
      <x:c r="C305" s="14" t="n">
        <x:v>1</x:v>
      </x:c>
      <x:c r="D305" s="15" t="n">
        <x:f>IF(AND(C305=1,INDEX('Respondents'!$C$2:$C$121,MATCH(A305,'Respondents'!$A$2:$A$121,0))&gt;=INDEX('Strategies'!$C$2:$C$6,MATCH(B305,'Strategies'!$A$2:$A$6,0))),1,0)</x:f>
        <x:v>1</x:v>
      </x:c>
      <x:c r="E305" s="15" t="n">
        <x:f>INDEX('Respondents'!$B$2:$B$121,MATCH(A305,'Respondents'!$A$2:$A$121,0))</x:f>
        <x:v>3</x:v>
      </x:c>
    </x:row>
    <x:row r="306">
      <x:c r="A306" s="14" t="n">
        <x:v>61</x:v>
      </x:c>
      <x:c r="B306" s="14" t="n">
        <x:v>5</x:v>
      </x:c>
      <x:c r="C306" s="14" t="n">
        <x:v>1</x:v>
      </x:c>
      <x:c r="D306" s="15" t="n">
        <x:f>IF(AND(C306=1,INDEX('Respondents'!$C$2:$C$121,MATCH(A306,'Respondents'!$A$2:$A$121,0))&gt;=INDEX('Strategies'!$C$2:$C$6,MATCH(B306,'Strategies'!$A$2:$A$6,0))),1,0)</x:f>
        <x:v>1</x:v>
      </x:c>
      <x:c r="E306" s="15" t="n">
        <x:f>INDEX('Respondents'!$B$2:$B$121,MATCH(A306,'Respondents'!$A$2:$A$121,0))</x:f>
        <x:v>3</x:v>
      </x:c>
    </x:row>
    <x:row r="307">
      <x:c r="A307" s="14" t="n">
        <x:v>62</x:v>
      </x:c>
      <x:c r="B307" s="14" t="n">
        <x:v>1</x:v>
      </x:c>
      <x:c r="C307" s="14" t="n">
        <x:v>1</x:v>
      </x:c>
      <x:c r="D307" s="15" t="n">
        <x:f>IF(AND(C307=1,INDEX('Respondents'!$C$2:$C$121,MATCH(A307,'Respondents'!$A$2:$A$121,0))&gt;=INDEX('Strategies'!$C$2:$C$6,MATCH(B307,'Strategies'!$A$2:$A$6,0))),1,0)</x:f>
        <x:v>0</x:v>
      </x:c>
      <x:c r="E307" s="15" t="n">
        <x:f>INDEX('Respondents'!$B$2:$B$121,MATCH(A307,'Respondents'!$A$2:$A$121,0))</x:f>
        <x:v>3</x:v>
      </x:c>
    </x:row>
    <x:row r="308">
      <x:c r="A308" s="14" t="n">
        <x:v>62</x:v>
      </x:c>
      <x:c r="B308" s="14" t="n">
        <x:v>2</x:v>
      </x:c>
      <x:c r="C308" s="14" t="n">
        <x:v>1</x:v>
      </x:c>
      <x:c r="D308" s="15" t="n">
        <x:f>IF(AND(C308=1,INDEX('Respondents'!$C$2:$C$121,MATCH(A308,'Respondents'!$A$2:$A$121,0))&gt;=INDEX('Strategies'!$C$2:$C$6,MATCH(B308,'Strategies'!$A$2:$A$6,0))),1,0)</x:f>
        <x:v>1</x:v>
      </x:c>
      <x:c r="E308" s="15" t="n">
        <x:f>INDEX('Respondents'!$B$2:$B$121,MATCH(A308,'Respondents'!$A$2:$A$121,0))</x:f>
        <x:v>3</x:v>
      </x:c>
    </x:row>
    <x:row r="309">
      <x:c r="A309" s="14" t="n">
        <x:v>62</x:v>
      </x:c>
      <x:c r="B309" s="14" t="n">
        <x:v>3</x:v>
      </x:c>
      <x:c r="C309" s="14" t="n">
        <x:v>0</x:v>
      </x:c>
      <x:c r="D309" s="15" t="n">
        <x:f>IF(AND(C309=1,INDEX('Respondents'!$C$2:$C$121,MATCH(A309,'Respondents'!$A$2:$A$121,0))&gt;=INDEX('Strategies'!$C$2:$C$6,MATCH(B309,'Strategies'!$A$2:$A$6,0))),1,0)</x:f>
        <x:v>0</x:v>
      </x:c>
      <x:c r="E309" s="15" t="n">
        <x:f>INDEX('Respondents'!$B$2:$B$121,MATCH(A309,'Respondents'!$A$2:$A$121,0))</x:f>
        <x:v>3</x:v>
      </x:c>
    </x:row>
    <x:row r="310">
      <x:c r="A310" s="14" t="n">
        <x:v>62</x:v>
      </x:c>
      <x:c r="B310" s="14" t="n">
        <x:v>4</x:v>
      </x:c>
      <x:c r="C310" s="14" t="n">
        <x:v>0</x:v>
      </x:c>
      <x:c r="D310" s="15" t="n">
        <x:f>IF(AND(C310=1,INDEX('Respondents'!$C$2:$C$121,MATCH(A310,'Respondents'!$A$2:$A$121,0))&gt;=INDEX('Strategies'!$C$2:$C$6,MATCH(B310,'Strategies'!$A$2:$A$6,0))),1,0)</x:f>
        <x:v>0</x:v>
      </x:c>
      <x:c r="E310" s="15" t="n">
        <x:f>INDEX('Respondents'!$B$2:$B$121,MATCH(A310,'Respondents'!$A$2:$A$121,0))</x:f>
        <x:v>3</x:v>
      </x:c>
    </x:row>
    <x:row r="311">
      <x:c r="A311" s="14" t="n">
        <x:v>62</x:v>
      </x:c>
      <x:c r="B311" s="14" t="n">
        <x:v>5</x:v>
      </x:c>
      <x:c r="C311" s="14" t="n">
        <x:v>1</x:v>
      </x:c>
      <x:c r="D311" s="15" t="n">
        <x:f>IF(AND(C311=1,INDEX('Respondents'!$C$2:$C$121,MATCH(A311,'Respondents'!$A$2:$A$121,0))&gt;=INDEX('Strategies'!$C$2:$C$6,MATCH(B311,'Strategies'!$A$2:$A$6,0))),1,0)</x:f>
        <x:v>0</x:v>
      </x:c>
      <x:c r="E311" s="15" t="n">
        <x:f>INDEX('Respondents'!$B$2:$B$121,MATCH(A311,'Respondents'!$A$2:$A$121,0))</x:f>
        <x:v>3</x:v>
      </x:c>
    </x:row>
    <x:row r="312">
      <x:c r="A312" s="14" t="n">
        <x:v>63</x:v>
      </x:c>
      <x:c r="B312" s="14" t="n">
        <x:v>1</x:v>
      </x:c>
      <x:c r="C312" s="14" t="n">
        <x:v>0</x:v>
      </x:c>
      <x:c r="D312" s="15" t="n">
        <x:f>IF(AND(C312=1,INDEX('Respondents'!$C$2:$C$121,MATCH(A312,'Respondents'!$A$2:$A$121,0))&gt;=INDEX('Strategies'!$C$2:$C$6,MATCH(B312,'Strategies'!$A$2:$A$6,0))),1,0)</x:f>
        <x:v>0</x:v>
      </x:c>
      <x:c r="E312" s="15" t="n">
        <x:f>INDEX('Respondents'!$B$2:$B$121,MATCH(A312,'Respondents'!$A$2:$A$121,0))</x:f>
        <x:v>3</x:v>
      </x:c>
    </x:row>
    <x:row r="313">
      <x:c r="A313" s="14" t="n">
        <x:v>63</x:v>
      </x:c>
      <x:c r="B313" s="14" t="n">
        <x:v>2</x:v>
      </x:c>
      <x:c r="C313" s="14" t="n">
        <x:v>1</x:v>
      </x:c>
      <x:c r="D313" s="15" t="n">
        <x:f>IF(AND(C313=1,INDEX('Respondents'!$C$2:$C$121,MATCH(A313,'Respondents'!$A$2:$A$121,0))&gt;=INDEX('Strategies'!$C$2:$C$6,MATCH(B313,'Strategies'!$A$2:$A$6,0))),1,0)</x:f>
        <x:v>1</x:v>
      </x:c>
      <x:c r="E313" s="15" t="n">
        <x:f>INDEX('Respondents'!$B$2:$B$121,MATCH(A313,'Respondents'!$A$2:$A$121,0))</x:f>
        <x:v>3</x:v>
      </x:c>
    </x:row>
    <x:row r="314">
      <x:c r="A314" s="14" t="n">
        <x:v>63</x:v>
      </x:c>
      <x:c r="B314" s="14" t="n">
        <x:v>3</x:v>
      </x:c>
      <x:c r="C314" s="14" t="n">
        <x:v>0</x:v>
      </x:c>
      <x:c r="D314" s="15" t="n">
        <x:f>IF(AND(C314=1,INDEX('Respondents'!$C$2:$C$121,MATCH(A314,'Respondents'!$A$2:$A$121,0))&gt;=INDEX('Strategies'!$C$2:$C$6,MATCH(B314,'Strategies'!$A$2:$A$6,0))),1,0)</x:f>
        <x:v>0</x:v>
      </x:c>
      <x:c r="E314" s="15" t="n">
        <x:f>INDEX('Respondents'!$B$2:$B$121,MATCH(A314,'Respondents'!$A$2:$A$121,0))</x:f>
        <x:v>3</x:v>
      </x:c>
    </x:row>
    <x:row r="315">
      <x:c r="A315" s="14" t="n">
        <x:v>63</x:v>
      </x:c>
      <x:c r="B315" s="14" t="n">
        <x:v>4</x:v>
      </x:c>
      <x:c r="C315" s="14" t="n">
        <x:v>0</x:v>
      </x:c>
      <x:c r="D315" s="15" t="n">
        <x:f>IF(AND(C315=1,INDEX('Respondents'!$C$2:$C$121,MATCH(A315,'Respondents'!$A$2:$A$121,0))&gt;=INDEX('Strategies'!$C$2:$C$6,MATCH(B315,'Strategies'!$A$2:$A$6,0))),1,0)</x:f>
        <x:v>0</x:v>
      </x:c>
      <x:c r="E315" s="15" t="n">
        <x:f>INDEX('Respondents'!$B$2:$B$121,MATCH(A315,'Respondents'!$A$2:$A$121,0))</x:f>
        <x:v>3</x:v>
      </x:c>
    </x:row>
    <x:row r="316">
      <x:c r="A316" s="14" t="n">
        <x:v>63</x:v>
      </x:c>
      <x:c r="B316" s="14" t="n">
        <x:v>5</x:v>
      </x:c>
      <x:c r="C316" s="14" t="n">
        <x:v>1</x:v>
      </x:c>
      <x:c r="D316" s="15" t="n">
        <x:f>IF(AND(C316=1,INDEX('Respondents'!$C$2:$C$121,MATCH(A316,'Respondents'!$A$2:$A$121,0))&gt;=INDEX('Strategies'!$C$2:$C$6,MATCH(B316,'Strategies'!$A$2:$A$6,0))),1,0)</x:f>
        <x:v>0</x:v>
      </x:c>
      <x:c r="E316" s="15" t="n">
        <x:f>INDEX('Respondents'!$B$2:$B$121,MATCH(A316,'Respondents'!$A$2:$A$121,0))</x:f>
        <x:v>3</x:v>
      </x:c>
    </x:row>
    <x:row r="317">
      <x:c r="A317" s="14" t="n">
        <x:v>64</x:v>
      </x:c>
      <x:c r="B317" s="14" t="n">
        <x:v>1</x:v>
      </x:c>
      <x:c r="C317" s="14" t="n">
        <x:v>0</x:v>
      </x:c>
      <x:c r="D317" s="15" t="n">
        <x:f>IF(AND(C317=1,INDEX('Respondents'!$C$2:$C$121,MATCH(A317,'Respondents'!$A$2:$A$121,0))&gt;=INDEX('Strategies'!$C$2:$C$6,MATCH(B317,'Strategies'!$A$2:$A$6,0))),1,0)</x:f>
        <x:v>0</x:v>
      </x:c>
      <x:c r="E317" s="15" t="n">
        <x:f>INDEX('Respondents'!$B$2:$B$121,MATCH(A317,'Respondents'!$A$2:$A$121,0))</x:f>
        <x:v>3</x:v>
      </x:c>
    </x:row>
    <x:row r="318">
      <x:c r="A318" s="14" t="n">
        <x:v>64</x:v>
      </x:c>
      <x:c r="B318" s="14" t="n">
        <x:v>2</x:v>
      </x:c>
      <x:c r="C318" s="14" t="n">
        <x:v>1</x:v>
      </x:c>
      <x:c r="D318" s="15" t="n">
        <x:f>IF(AND(C318=1,INDEX('Respondents'!$C$2:$C$121,MATCH(A318,'Respondents'!$A$2:$A$121,0))&gt;=INDEX('Strategies'!$C$2:$C$6,MATCH(B318,'Strategies'!$A$2:$A$6,0))),1,0)</x:f>
        <x:v>1</x:v>
      </x:c>
      <x:c r="E318" s="15" t="n">
        <x:f>INDEX('Respondents'!$B$2:$B$121,MATCH(A318,'Respondents'!$A$2:$A$121,0))</x:f>
        <x:v>3</x:v>
      </x:c>
    </x:row>
    <x:row r="319">
      <x:c r="A319" s="14" t="n">
        <x:v>64</x:v>
      </x:c>
      <x:c r="B319" s="14" t="n">
        <x:v>3</x:v>
      </x:c>
      <x:c r="C319" s="14" t="n">
        <x:v>1</x:v>
      </x:c>
      <x:c r="D319" s="15" t="n">
        <x:f>IF(AND(C319=1,INDEX('Respondents'!$C$2:$C$121,MATCH(A319,'Respondents'!$A$2:$A$121,0))&gt;=INDEX('Strategies'!$C$2:$C$6,MATCH(B319,'Strategies'!$A$2:$A$6,0))),1,0)</x:f>
        <x:v>1</x:v>
      </x:c>
      <x:c r="E319" s="15" t="n">
        <x:f>INDEX('Respondents'!$B$2:$B$121,MATCH(A319,'Respondents'!$A$2:$A$121,0))</x:f>
        <x:v>3</x:v>
      </x:c>
    </x:row>
    <x:row r="320">
      <x:c r="A320" s="14" t="n">
        <x:v>64</x:v>
      </x:c>
      <x:c r="B320" s="14" t="n">
        <x:v>4</x:v>
      </x:c>
      <x:c r="C320" s="14" t="n">
        <x:v>0</x:v>
      </x:c>
      <x:c r="D320" s="15" t="n">
        <x:f>IF(AND(C320=1,INDEX('Respondents'!$C$2:$C$121,MATCH(A320,'Respondents'!$A$2:$A$121,0))&gt;=INDEX('Strategies'!$C$2:$C$6,MATCH(B320,'Strategies'!$A$2:$A$6,0))),1,0)</x:f>
        <x:v>0</x:v>
      </x:c>
      <x:c r="E320" s="15" t="n">
        <x:f>INDEX('Respondents'!$B$2:$B$121,MATCH(A320,'Respondents'!$A$2:$A$121,0))</x:f>
        <x:v>3</x:v>
      </x:c>
    </x:row>
    <x:row r="321">
      <x:c r="A321" s="14" t="n">
        <x:v>64</x:v>
      </x:c>
      <x:c r="B321" s="14" t="n">
        <x:v>5</x:v>
      </x:c>
      <x:c r="C321" s="14" t="n">
        <x:v>1</x:v>
      </x:c>
      <x:c r="D321" s="15" t="n">
        <x:f>IF(AND(C321=1,INDEX('Respondents'!$C$2:$C$121,MATCH(A321,'Respondents'!$A$2:$A$121,0))&gt;=INDEX('Strategies'!$C$2:$C$6,MATCH(B321,'Strategies'!$A$2:$A$6,0))),1,0)</x:f>
        <x:v>1</x:v>
      </x:c>
      <x:c r="E321" s="15" t="n">
        <x:f>INDEX('Respondents'!$B$2:$B$121,MATCH(A321,'Respondents'!$A$2:$A$121,0))</x:f>
        <x:v>3</x:v>
      </x:c>
    </x:row>
    <x:row r="322">
      <x:c r="A322" s="14" t="n">
        <x:v>65</x:v>
      </x:c>
      <x:c r="B322" s="14" t="n">
        <x:v>1</x:v>
      </x:c>
      <x:c r="C322" s="14" t="n">
        <x:v>0</x:v>
      </x:c>
      <x:c r="D322" s="15" t="n">
        <x:f>IF(AND(C322=1,INDEX('Respondents'!$C$2:$C$121,MATCH(A322,'Respondents'!$A$2:$A$121,0))&gt;=INDEX('Strategies'!$C$2:$C$6,MATCH(B322,'Strategies'!$A$2:$A$6,0))),1,0)</x:f>
        <x:v>0</x:v>
      </x:c>
      <x:c r="E322" s="15" t="n">
        <x:f>INDEX('Respondents'!$B$2:$B$121,MATCH(A322,'Respondents'!$A$2:$A$121,0))</x:f>
        <x:v>3</x:v>
      </x:c>
    </x:row>
    <x:row r="323">
      <x:c r="A323" s="14" t="n">
        <x:v>65</x:v>
      </x:c>
      <x:c r="B323" s="14" t="n">
        <x:v>2</x:v>
      </x:c>
      <x:c r="C323" s="14" t="n">
        <x:v>0</x:v>
      </x:c>
      <x:c r="D323" s="15" t="n">
        <x:f>IF(AND(C323=1,INDEX('Respondents'!$C$2:$C$121,MATCH(A323,'Respondents'!$A$2:$A$121,0))&gt;=INDEX('Strategies'!$C$2:$C$6,MATCH(B323,'Strategies'!$A$2:$A$6,0))),1,0)</x:f>
        <x:v>0</x:v>
      </x:c>
      <x:c r="E323" s="15" t="n">
        <x:f>INDEX('Respondents'!$B$2:$B$121,MATCH(A323,'Respondents'!$A$2:$A$121,0))</x:f>
        <x:v>3</x:v>
      </x:c>
    </x:row>
    <x:row r="324">
      <x:c r="A324" s="14" t="n">
        <x:v>65</x:v>
      </x:c>
      <x:c r="B324" s="14" t="n">
        <x:v>3</x:v>
      </x:c>
      <x:c r="C324" s="14" t="n">
        <x:v>1</x:v>
      </x:c>
      <x:c r="D324" s="15" t="n">
        <x:f>IF(AND(C324=1,INDEX('Respondents'!$C$2:$C$121,MATCH(A324,'Respondents'!$A$2:$A$121,0))&gt;=INDEX('Strategies'!$C$2:$C$6,MATCH(B324,'Strategies'!$A$2:$A$6,0))),1,0)</x:f>
        <x:v>1</x:v>
      </x:c>
      <x:c r="E324" s="15" t="n">
        <x:f>INDEX('Respondents'!$B$2:$B$121,MATCH(A324,'Respondents'!$A$2:$A$121,0))</x:f>
        <x:v>3</x:v>
      </x:c>
    </x:row>
    <x:row r="325">
      <x:c r="A325" s="14" t="n">
        <x:v>65</x:v>
      </x:c>
      <x:c r="B325" s="14" t="n">
        <x:v>4</x:v>
      </x:c>
      <x:c r="C325" s="14" t="n">
        <x:v>0</x:v>
      </x:c>
      <x:c r="D325" s="15" t="n">
        <x:f>IF(AND(C325=1,INDEX('Respondents'!$C$2:$C$121,MATCH(A325,'Respondents'!$A$2:$A$121,0))&gt;=INDEX('Strategies'!$C$2:$C$6,MATCH(B325,'Strategies'!$A$2:$A$6,0))),1,0)</x:f>
        <x:v>0</x:v>
      </x:c>
      <x:c r="E325" s="15" t="n">
        <x:f>INDEX('Respondents'!$B$2:$B$121,MATCH(A325,'Respondents'!$A$2:$A$121,0))</x:f>
        <x:v>3</x:v>
      </x:c>
    </x:row>
    <x:row r="326">
      <x:c r="A326" s="14" t="n">
        <x:v>65</x:v>
      </x:c>
      <x:c r="B326" s="14" t="n">
        <x:v>5</x:v>
      </x:c>
      <x:c r="C326" s="14" t="n">
        <x:v>1</x:v>
      </x:c>
      <x:c r="D326" s="15" t="n">
        <x:f>IF(AND(C326=1,INDEX('Respondents'!$C$2:$C$121,MATCH(A326,'Respondents'!$A$2:$A$121,0))&gt;=INDEX('Strategies'!$C$2:$C$6,MATCH(B326,'Strategies'!$A$2:$A$6,0))),1,0)</x:f>
        <x:v>1</x:v>
      </x:c>
      <x:c r="E326" s="15" t="n">
        <x:f>INDEX('Respondents'!$B$2:$B$121,MATCH(A326,'Respondents'!$A$2:$A$121,0))</x:f>
        <x:v>3</x:v>
      </x:c>
    </x:row>
    <x:row r="327">
      <x:c r="A327" s="14" t="n">
        <x:v>66</x:v>
      </x:c>
      <x:c r="B327" s="14" t="n">
        <x:v>1</x:v>
      </x:c>
      <x:c r="C327" s="14" t="n">
        <x:v>0</x:v>
      </x:c>
      <x:c r="D327" s="15" t="n">
        <x:f>IF(AND(C327=1,INDEX('Respondents'!$C$2:$C$121,MATCH(A327,'Respondents'!$A$2:$A$121,0))&gt;=INDEX('Strategies'!$C$2:$C$6,MATCH(B327,'Strategies'!$A$2:$A$6,0))),1,0)</x:f>
        <x:v>0</x:v>
      </x:c>
      <x:c r="E327" s="15" t="n">
        <x:f>INDEX('Respondents'!$B$2:$B$121,MATCH(A327,'Respondents'!$A$2:$A$121,0))</x:f>
        <x:v>3</x:v>
      </x:c>
    </x:row>
    <x:row r="328">
      <x:c r="A328" s="14" t="n">
        <x:v>66</x:v>
      </x:c>
      <x:c r="B328" s="14" t="n">
        <x:v>2</x:v>
      </x:c>
      <x:c r="C328" s="14" t="n">
        <x:v>1</x:v>
      </x:c>
      <x:c r="D328" s="15" t="n">
        <x:f>IF(AND(C328=1,INDEX('Respondents'!$C$2:$C$121,MATCH(A328,'Respondents'!$A$2:$A$121,0))&gt;=INDEX('Strategies'!$C$2:$C$6,MATCH(B328,'Strategies'!$A$2:$A$6,0))),1,0)</x:f>
        <x:v>1</x:v>
      </x:c>
      <x:c r="E328" s="15" t="n">
        <x:f>INDEX('Respondents'!$B$2:$B$121,MATCH(A328,'Respondents'!$A$2:$A$121,0))</x:f>
        <x:v>3</x:v>
      </x:c>
    </x:row>
    <x:row r="329">
      <x:c r="A329" s="14" t="n">
        <x:v>66</x:v>
      </x:c>
      <x:c r="B329" s="14" t="n">
        <x:v>3</x:v>
      </x:c>
      <x:c r="C329" s="14" t="n">
        <x:v>0</x:v>
      </x:c>
      <x:c r="D329" s="15" t="n">
        <x:f>IF(AND(C329=1,INDEX('Respondents'!$C$2:$C$121,MATCH(A329,'Respondents'!$A$2:$A$121,0))&gt;=INDEX('Strategies'!$C$2:$C$6,MATCH(B329,'Strategies'!$A$2:$A$6,0))),1,0)</x:f>
        <x:v>0</x:v>
      </x:c>
      <x:c r="E329" s="15" t="n">
        <x:f>INDEX('Respondents'!$B$2:$B$121,MATCH(A329,'Respondents'!$A$2:$A$121,0))</x:f>
        <x:v>3</x:v>
      </x:c>
    </x:row>
    <x:row r="330">
      <x:c r="A330" s="14" t="n">
        <x:v>66</x:v>
      </x:c>
      <x:c r="B330" s="14" t="n">
        <x:v>4</x:v>
      </x:c>
      <x:c r="C330" s="14" t="n">
        <x:v>1</x:v>
      </x:c>
      <x:c r="D330" s="15" t="n">
        <x:f>IF(AND(C330=1,INDEX('Respondents'!$C$2:$C$121,MATCH(A330,'Respondents'!$A$2:$A$121,0))&gt;=INDEX('Strategies'!$C$2:$C$6,MATCH(B330,'Strategies'!$A$2:$A$6,0))),1,0)</x:f>
        <x:v>1</x:v>
      </x:c>
      <x:c r="E330" s="15" t="n">
        <x:f>INDEX('Respondents'!$B$2:$B$121,MATCH(A330,'Respondents'!$A$2:$A$121,0))</x:f>
        <x:v>3</x:v>
      </x:c>
    </x:row>
    <x:row r="331">
      <x:c r="A331" s="14" t="n">
        <x:v>66</x:v>
      </x:c>
      <x:c r="B331" s="14" t="n">
        <x:v>5</x:v>
      </x:c>
      <x:c r="C331" s="14" t="n">
        <x:v>0</x:v>
      </x:c>
      <x:c r="D331" s="15" t="n">
        <x:f>IF(AND(C331=1,INDEX('Respondents'!$C$2:$C$121,MATCH(A331,'Respondents'!$A$2:$A$121,0))&gt;=INDEX('Strategies'!$C$2:$C$6,MATCH(B331,'Strategies'!$A$2:$A$6,0))),1,0)</x:f>
        <x:v>0</x:v>
      </x:c>
      <x:c r="E331" s="15" t="n">
        <x:f>INDEX('Respondents'!$B$2:$B$121,MATCH(A331,'Respondents'!$A$2:$A$121,0))</x:f>
        <x:v>3</x:v>
      </x:c>
    </x:row>
    <x:row r="332">
      <x:c r="A332" s="14" t="n">
        <x:v>67</x:v>
      </x:c>
      <x:c r="B332" s="14" t="n">
        <x:v>1</x:v>
      </x:c>
      <x:c r="C332" s="14" t="n">
        <x:v>1</x:v>
      </x:c>
      <x:c r="D332" s="15" t="n">
        <x:f>IF(AND(C332=1,INDEX('Respondents'!$C$2:$C$121,MATCH(A332,'Respondents'!$A$2:$A$121,0))&gt;=INDEX('Strategies'!$C$2:$C$6,MATCH(B332,'Strategies'!$A$2:$A$6,0))),1,0)</x:f>
        <x:v>1</x:v>
      </x:c>
      <x:c r="E332" s="15" t="n">
        <x:f>INDEX('Respondents'!$B$2:$B$121,MATCH(A332,'Respondents'!$A$2:$A$121,0))</x:f>
        <x:v>3</x:v>
      </x:c>
    </x:row>
    <x:row r="333">
      <x:c r="A333" s="14" t="n">
        <x:v>67</x:v>
      </x:c>
      <x:c r="B333" s="14" t="n">
        <x:v>2</x:v>
      </x:c>
      <x:c r="C333" s="14" t="n">
        <x:v>0</x:v>
      </x:c>
      <x:c r="D333" s="15" t="n">
        <x:f>IF(AND(C333=1,INDEX('Respondents'!$C$2:$C$121,MATCH(A333,'Respondents'!$A$2:$A$121,0))&gt;=INDEX('Strategies'!$C$2:$C$6,MATCH(B333,'Strategies'!$A$2:$A$6,0))),1,0)</x:f>
        <x:v>0</x:v>
      </x:c>
      <x:c r="E333" s="15" t="n">
        <x:f>INDEX('Respondents'!$B$2:$B$121,MATCH(A333,'Respondents'!$A$2:$A$121,0))</x:f>
        <x:v>3</x:v>
      </x:c>
    </x:row>
    <x:row r="334">
      <x:c r="A334" s="14" t="n">
        <x:v>67</x:v>
      </x:c>
      <x:c r="B334" s="14" t="n">
        <x:v>3</x:v>
      </x:c>
      <x:c r="C334" s="14" t="n">
        <x:v>0</x:v>
      </x:c>
      <x:c r="D334" s="15" t="n">
        <x:f>IF(AND(C334=1,INDEX('Respondents'!$C$2:$C$121,MATCH(A334,'Respondents'!$A$2:$A$121,0))&gt;=INDEX('Strategies'!$C$2:$C$6,MATCH(B334,'Strategies'!$A$2:$A$6,0))),1,0)</x:f>
        <x:v>0</x:v>
      </x:c>
      <x:c r="E334" s="15" t="n">
        <x:f>INDEX('Respondents'!$B$2:$B$121,MATCH(A334,'Respondents'!$A$2:$A$121,0))</x:f>
        <x:v>3</x:v>
      </x:c>
    </x:row>
    <x:row r="335">
      <x:c r="A335" s="14" t="n">
        <x:v>67</x:v>
      </x:c>
      <x:c r="B335" s="14" t="n">
        <x:v>4</x:v>
      </x:c>
      <x:c r="C335" s="14" t="n">
        <x:v>0</x:v>
      </x:c>
      <x:c r="D335" s="15" t="n">
        <x:f>IF(AND(C335=1,INDEX('Respondents'!$C$2:$C$121,MATCH(A335,'Respondents'!$A$2:$A$121,0))&gt;=INDEX('Strategies'!$C$2:$C$6,MATCH(B335,'Strategies'!$A$2:$A$6,0))),1,0)</x:f>
        <x:v>0</x:v>
      </x:c>
      <x:c r="E335" s="15" t="n">
        <x:f>INDEX('Respondents'!$B$2:$B$121,MATCH(A335,'Respondents'!$A$2:$A$121,0))</x:f>
        <x:v>3</x:v>
      </x:c>
    </x:row>
    <x:row r="336">
      <x:c r="A336" s="14" t="n">
        <x:v>67</x:v>
      </x:c>
      <x:c r="B336" s="14" t="n">
        <x:v>5</x:v>
      </x:c>
      <x:c r="C336" s="14" t="n">
        <x:v>1</x:v>
      </x:c>
      <x:c r="D336" s="15" t="n">
        <x:f>IF(AND(C336=1,INDEX('Respondents'!$C$2:$C$121,MATCH(A336,'Respondents'!$A$2:$A$121,0))&gt;=INDEX('Strategies'!$C$2:$C$6,MATCH(B336,'Strategies'!$A$2:$A$6,0))),1,0)</x:f>
        <x:v>1</x:v>
      </x:c>
      <x:c r="E336" s="15" t="n">
        <x:f>INDEX('Respondents'!$B$2:$B$121,MATCH(A336,'Respondents'!$A$2:$A$121,0))</x:f>
        <x:v>3</x:v>
      </x:c>
    </x:row>
    <x:row r="337">
      <x:c r="A337" s="14" t="n">
        <x:v>68</x:v>
      </x:c>
      <x:c r="B337" s="14" t="n">
        <x:v>1</x:v>
      </x:c>
      <x:c r="C337" s="14" t="n">
        <x:v>0</x:v>
      </x:c>
      <x:c r="D337" s="15" t="n">
        <x:f>IF(AND(C337=1,INDEX('Respondents'!$C$2:$C$121,MATCH(A337,'Respondents'!$A$2:$A$121,0))&gt;=INDEX('Strategies'!$C$2:$C$6,MATCH(B337,'Strategies'!$A$2:$A$6,0))),1,0)</x:f>
        <x:v>0</x:v>
      </x:c>
      <x:c r="E337" s="15" t="n">
        <x:f>INDEX('Respondents'!$B$2:$B$121,MATCH(A337,'Respondents'!$A$2:$A$121,0))</x:f>
        <x:v>3</x:v>
      </x:c>
    </x:row>
    <x:row r="338">
      <x:c r="A338" s="14" t="n">
        <x:v>68</x:v>
      </x:c>
      <x:c r="B338" s="14" t="n">
        <x:v>2</x:v>
      </x:c>
      <x:c r="C338" s="14" t="n">
        <x:v>0</x:v>
      </x:c>
      <x:c r="D338" s="15" t="n">
        <x:f>IF(AND(C338=1,INDEX('Respondents'!$C$2:$C$121,MATCH(A338,'Respondents'!$A$2:$A$121,0))&gt;=INDEX('Strategies'!$C$2:$C$6,MATCH(B338,'Strategies'!$A$2:$A$6,0))),1,0)</x:f>
        <x:v>0</x:v>
      </x:c>
      <x:c r="E338" s="15" t="n">
        <x:f>INDEX('Respondents'!$B$2:$B$121,MATCH(A338,'Respondents'!$A$2:$A$121,0))</x:f>
        <x:v>3</x:v>
      </x:c>
    </x:row>
    <x:row r="339">
      <x:c r="A339" s="14" t="n">
        <x:v>68</x:v>
      </x:c>
      <x:c r="B339" s="14" t="n">
        <x:v>3</x:v>
      </x:c>
      <x:c r="C339" s="14" t="n">
        <x:v>0</x:v>
      </x:c>
      <x:c r="D339" s="15" t="n">
        <x:f>IF(AND(C339=1,INDEX('Respondents'!$C$2:$C$121,MATCH(A339,'Respondents'!$A$2:$A$121,0))&gt;=INDEX('Strategies'!$C$2:$C$6,MATCH(B339,'Strategies'!$A$2:$A$6,0))),1,0)</x:f>
        <x:v>0</x:v>
      </x:c>
      <x:c r="E339" s="15" t="n">
        <x:f>INDEX('Respondents'!$B$2:$B$121,MATCH(A339,'Respondents'!$A$2:$A$121,0))</x:f>
        <x:v>3</x:v>
      </x:c>
    </x:row>
    <x:row r="340">
      <x:c r="A340" s="14" t="n">
        <x:v>68</x:v>
      </x:c>
      <x:c r="B340" s="14" t="n">
        <x:v>4</x:v>
      </x:c>
      <x:c r="C340" s="14" t="n">
        <x:v>0</x:v>
      </x:c>
      <x:c r="D340" s="15" t="n">
        <x:f>IF(AND(C340=1,INDEX('Respondents'!$C$2:$C$121,MATCH(A340,'Respondents'!$A$2:$A$121,0))&gt;=INDEX('Strategies'!$C$2:$C$6,MATCH(B340,'Strategies'!$A$2:$A$6,0))),1,0)</x:f>
        <x:v>0</x:v>
      </x:c>
      <x:c r="E340" s="15" t="n">
        <x:f>INDEX('Respondents'!$B$2:$B$121,MATCH(A340,'Respondents'!$A$2:$A$121,0))</x:f>
        <x:v>3</x:v>
      </x:c>
    </x:row>
    <x:row r="341">
      <x:c r="A341" s="14" t="n">
        <x:v>68</x:v>
      </x:c>
      <x:c r="B341" s="14" t="n">
        <x:v>5</x:v>
      </x:c>
      <x:c r="C341" s="14" t="n">
        <x:v>1</x:v>
      </x:c>
      <x:c r="D341" s="15" t="n">
        <x:f>IF(AND(C341=1,INDEX('Respondents'!$C$2:$C$121,MATCH(A341,'Respondents'!$A$2:$A$121,0))&gt;=INDEX('Strategies'!$C$2:$C$6,MATCH(B341,'Strategies'!$A$2:$A$6,0))),1,0)</x:f>
        <x:v>1</x:v>
      </x:c>
      <x:c r="E341" s="15" t="n">
        <x:f>INDEX('Respondents'!$B$2:$B$121,MATCH(A341,'Respondents'!$A$2:$A$121,0))</x:f>
        <x:v>3</x:v>
      </x:c>
    </x:row>
    <x:row r="342">
      <x:c r="A342" s="14" t="n">
        <x:v>69</x:v>
      </x:c>
      <x:c r="B342" s="14" t="n">
        <x:v>1</x:v>
      </x:c>
      <x:c r="C342" s="14" t="n">
        <x:v>1</x:v>
      </x:c>
      <x:c r="D342" s="15" t="n">
        <x:f>IF(AND(C342=1,INDEX('Respondents'!$C$2:$C$121,MATCH(A342,'Respondents'!$A$2:$A$121,0))&gt;=INDEX('Strategies'!$C$2:$C$6,MATCH(B342,'Strategies'!$A$2:$A$6,0))),1,0)</x:f>
        <x:v>1</x:v>
      </x:c>
      <x:c r="E342" s="15" t="n">
        <x:f>INDEX('Respondents'!$B$2:$B$121,MATCH(A342,'Respondents'!$A$2:$A$121,0))</x:f>
        <x:v>3</x:v>
      </x:c>
    </x:row>
    <x:row r="343">
      <x:c r="A343" s="14" t="n">
        <x:v>69</x:v>
      </x:c>
      <x:c r="B343" s="14" t="n">
        <x:v>2</x:v>
      </x:c>
      <x:c r="C343" s="14" t="n">
        <x:v>1</x:v>
      </x:c>
      <x:c r="D343" s="15" t="n">
        <x:f>IF(AND(C343=1,INDEX('Respondents'!$C$2:$C$121,MATCH(A343,'Respondents'!$A$2:$A$121,0))&gt;=INDEX('Strategies'!$C$2:$C$6,MATCH(B343,'Strategies'!$A$2:$A$6,0))),1,0)</x:f>
        <x:v>1</x:v>
      </x:c>
      <x:c r="E343" s="15" t="n">
        <x:f>INDEX('Respondents'!$B$2:$B$121,MATCH(A343,'Respondents'!$A$2:$A$121,0))</x:f>
        <x:v>3</x:v>
      </x:c>
    </x:row>
    <x:row r="344">
      <x:c r="A344" s="14" t="n">
        <x:v>69</x:v>
      </x:c>
      <x:c r="B344" s="14" t="n">
        <x:v>3</x:v>
      </x:c>
      <x:c r="C344" s="14" t="n">
        <x:v>0</x:v>
      </x:c>
      <x:c r="D344" s="15" t="n">
        <x:f>IF(AND(C344=1,INDEX('Respondents'!$C$2:$C$121,MATCH(A344,'Respondents'!$A$2:$A$121,0))&gt;=INDEX('Strategies'!$C$2:$C$6,MATCH(B344,'Strategies'!$A$2:$A$6,0))),1,0)</x:f>
        <x:v>0</x:v>
      </x:c>
      <x:c r="E344" s="15" t="n">
        <x:f>INDEX('Respondents'!$B$2:$B$121,MATCH(A344,'Respondents'!$A$2:$A$121,0))</x:f>
        <x:v>3</x:v>
      </x:c>
    </x:row>
    <x:row r="345">
      <x:c r="A345" s="14" t="n">
        <x:v>69</x:v>
      </x:c>
      <x:c r="B345" s="14" t="n">
        <x:v>4</x:v>
      </x:c>
      <x:c r="C345" s="14" t="n">
        <x:v>1</x:v>
      </x:c>
      <x:c r="D345" s="15" t="n">
        <x:f>IF(AND(C345=1,INDEX('Respondents'!$C$2:$C$121,MATCH(A345,'Respondents'!$A$2:$A$121,0))&gt;=INDEX('Strategies'!$C$2:$C$6,MATCH(B345,'Strategies'!$A$2:$A$6,0))),1,0)</x:f>
        <x:v>1</x:v>
      </x:c>
      <x:c r="E345" s="15" t="n">
        <x:f>INDEX('Respondents'!$B$2:$B$121,MATCH(A345,'Respondents'!$A$2:$A$121,0))</x:f>
        <x:v>3</x:v>
      </x:c>
    </x:row>
    <x:row r="346">
      <x:c r="A346" s="14" t="n">
        <x:v>69</x:v>
      </x:c>
      <x:c r="B346" s="14" t="n">
        <x:v>5</x:v>
      </x:c>
      <x:c r="C346" s="14" t="n">
        <x:v>1</x:v>
      </x:c>
      <x:c r="D346" s="15" t="n">
        <x:f>IF(AND(C346=1,INDEX('Respondents'!$C$2:$C$121,MATCH(A346,'Respondents'!$A$2:$A$121,0))&gt;=INDEX('Strategies'!$C$2:$C$6,MATCH(B346,'Strategies'!$A$2:$A$6,0))),1,0)</x:f>
        <x:v>1</x:v>
      </x:c>
      <x:c r="E346" s="15" t="n">
        <x:f>INDEX('Respondents'!$B$2:$B$121,MATCH(A346,'Respondents'!$A$2:$A$121,0))</x:f>
        <x:v>3</x:v>
      </x:c>
    </x:row>
    <x:row r="347">
      <x:c r="A347" s="14" t="n">
        <x:v>70</x:v>
      </x:c>
      <x:c r="B347" s="14" t="n">
        <x:v>1</x:v>
      </x:c>
      <x:c r="C347" s="14" t="n">
        <x:v>0</x:v>
      </x:c>
      <x:c r="D347" s="15" t="n">
        <x:f>IF(AND(C347=1,INDEX('Respondents'!$C$2:$C$121,MATCH(A347,'Respondents'!$A$2:$A$121,0))&gt;=INDEX('Strategies'!$C$2:$C$6,MATCH(B347,'Strategies'!$A$2:$A$6,0))),1,0)</x:f>
        <x:v>0</x:v>
      </x:c>
      <x:c r="E347" s="15" t="n">
        <x:f>INDEX('Respondents'!$B$2:$B$121,MATCH(A347,'Respondents'!$A$2:$A$121,0))</x:f>
        <x:v>3</x:v>
      </x:c>
    </x:row>
    <x:row r="348">
      <x:c r="A348" s="14" t="n">
        <x:v>70</x:v>
      </x:c>
      <x:c r="B348" s="14" t="n">
        <x:v>2</x:v>
      </x:c>
      <x:c r="C348" s="14" t="n">
        <x:v>0</x:v>
      </x:c>
      <x:c r="D348" s="15" t="n">
        <x:f>IF(AND(C348=1,INDEX('Respondents'!$C$2:$C$121,MATCH(A348,'Respondents'!$A$2:$A$121,0))&gt;=INDEX('Strategies'!$C$2:$C$6,MATCH(B348,'Strategies'!$A$2:$A$6,0))),1,0)</x:f>
        <x:v>0</x:v>
      </x:c>
      <x:c r="E348" s="15" t="n">
        <x:f>INDEX('Respondents'!$B$2:$B$121,MATCH(A348,'Respondents'!$A$2:$A$121,0))</x:f>
        <x:v>3</x:v>
      </x:c>
    </x:row>
    <x:row r="349">
      <x:c r="A349" s="14" t="n">
        <x:v>70</x:v>
      </x:c>
      <x:c r="B349" s="14" t="n">
        <x:v>3</x:v>
      </x:c>
      <x:c r="C349" s="14" t="n">
        <x:v>1</x:v>
      </x:c>
      <x:c r="D349" s="15" t="n">
        <x:f>IF(AND(C349=1,INDEX('Respondents'!$C$2:$C$121,MATCH(A349,'Respondents'!$A$2:$A$121,0))&gt;=INDEX('Strategies'!$C$2:$C$6,MATCH(B349,'Strategies'!$A$2:$A$6,0))),1,0)</x:f>
        <x:v>0</x:v>
      </x:c>
      <x:c r="E349" s="15" t="n">
        <x:f>INDEX('Respondents'!$B$2:$B$121,MATCH(A349,'Respondents'!$A$2:$A$121,0))</x:f>
        <x:v>3</x:v>
      </x:c>
    </x:row>
    <x:row r="350">
      <x:c r="A350" s="14" t="n">
        <x:v>70</x:v>
      </x:c>
      <x:c r="B350" s="14" t="n">
        <x:v>4</x:v>
      </x:c>
      <x:c r="C350" s="14" t="n">
        <x:v>1</x:v>
      </x:c>
      <x:c r="D350" s="15" t="n">
        <x:f>IF(AND(C350=1,INDEX('Respondents'!$C$2:$C$121,MATCH(A350,'Respondents'!$A$2:$A$121,0))&gt;=INDEX('Strategies'!$C$2:$C$6,MATCH(B350,'Strategies'!$A$2:$A$6,0))),1,0)</x:f>
        <x:v>1</x:v>
      </x:c>
      <x:c r="E350" s="15" t="n">
        <x:f>INDEX('Respondents'!$B$2:$B$121,MATCH(A350,'Respondents'!$A$2:$A$121,0))</x:f>
        <x:v>3</x:v>
      </x:c>
    </x:row>
    <x:row r="351">
      <x:c r="A351" s="14" t="n">
        <x:v>70</x:v>
      </x:c>
      <x:c r="B351" s="14" t="n">
        <x:v>5</x:v>
      </x:c>
      <x:c r="C351" s="14" t="n">
        <x:v>0</x:v>
      </x:c>
      <x:c r="D351" s="15" t="n">
        <x:f>IF(AND(C351=1,INDEX('Respondents'!$C$2:$C$121,MATCH(A351,'Respondents'!$A$2:$A$121,0))&gt;=INDEX('Strategies'!$C$2:$C$6,MATCH(B351,'Strategies'!$A$2:$A$6,0))),1,0)</x:f>
        <x:v>0</x:v>
      </x:c>
      <x:c r="E351" s="15" t="n">
        <x:f>INDEX('Respondents'!$B$2:$B$121,MATCH(A351,'Respondents'!$A$2:$A$121,0))</x:f>
        <x:v>3</x:v>
      </x:c>
    </x:row>
    <x:row r="352">
      <x:c r="A352" s="14" t="n">
        <x:v>71</x:v>
      </x:c>
      <x:c r="B352" s="14" t="n">
        <x:v>1</x:v>
      </x:c>
      <x:c r="C352" s="14" t="n">
        <x:v>0</x:v>
      </x:c>
      <x:c r="D352" s="15" t="n">
        <x:f>IF(AND(C352=1,INDEX('Respondents'!$C$2:$C$121,MATCH(A352,'Respondents'!$A$2:$A$121,0))&gt;=INDEX('Strategies'!$C$2:$C$6,MATCH(B352,'Strategies'!$A$2:$A$6,0))),1,0)</x:f>
        <x:v>0</x:v>
      </x:c>
      <x:c r="E352" s="15" t="n">
        <x:f>INDEX('Respondents'!$B$2:$B$121,MATCH(A352,'Respondents'!$A$2:$A$121,0))</x:f>
        <x:v>3</x:v>
      </x:c>
    </x:row>
    <x:row r="353">
      <x:c r="A353" s="14" t="n">
        <x:v>71</x:v>
      </x:c>
      <x:c r="B353" s="14" t="n">
        <x:v>2</x:v>
      </x:c>
      <x:c r="C353" s="14" t="n">
        <x:v>0</x:v>
      </x:c>
      <x:c r="D353" s="15" t="n">
        <x:f>IF(AND(C353=1,INDEX('Respondents'!$C$2:$C$121,MATCH(A353,'Respondents'!$A$2:$A$121,0))&gt;=INDEX('Strategies'!$C$2:$C$6,MATCH(B353,'Strategies'!$A$2:$A$6,0))),1,0)</x:f>
        <x:v>0</x:v>
      </x:c>
      <x:c r="E353" s="15" t="n">
        <x:f>INDEX('Respondents'!$B$2:$B$121,MATCH(A353,'Respondents'!$A$2:$A$121,0))</x:f>
        <x:v>3</x:v>
      </x:c>
    </x:row>
    <x:row r="354">
      <x:c r="A354" s="14" t="n">
        <x:v>71</x:v>
      </x:c>
      <x:c r="B354" s="14" t="n">
        <x:v>3</x:v>
      </x:c>
      <x:c r="C354" s="14" t="n">
        <x:v>0</x:v>
      </x:c>
      <x:c r="D354" s="15" t="n">
        <x:f>IF(AND(C354=1,INDEX('Respondents'!$C$2:$C$121,MATCH(A354,'Respondents'!$A$2:$A$121,0))&gt;=INDEX('Strategies'!$C$2:$C$6,MATCH(B354,'Strategies'!$A$2:$A$6,0))),1,0)</x:f>
        <x:v>0</x:v>
      </x:c>
      <x:c r="E354" s="15" t="n">
        <x:f>INDEX('Respondents'!$B$2:$B$121,MATCH(A354,'Respondents'!$A$2:$A$121,0))</x:f>
        <x:v>3</x:v>
      </x:c>
    </x:row>
    <x:row r="355">
      <x:c r="A355" s="14" t="n">
        <x:v>71</x:v>
      </x:c>
      <x:c r="B355" s="14" t="n">
        <x:v>4</x:v>
      </x:c>
      <x:c r="C355" s="14" t="n">
        <x:v>1</x:v>
      </x:c>
      <x:c r="D355" s="15" t="n">
        <x:f>IF(AND(C355=1,INDEX('Respondents'!$C$2:$C$121,MATCH(A355,'Respondents'!$A$2:$A$121,0))&gt;=INDEX('Strategies'!$C$2:$C$6,MATCH(B355,'Strategies'!$A$2:$A$6,0))),1,0)</x:f>
        <x:v>1</x:v>
      </x:c>
      <x:c r="E355" s="15" t="n">
        <x:f>INDEX('Respondents'!$B$2:$B$121,MATCH(A355,'Respondents'!$A$2:$A$121,0))</x:f>
        <x:v>3</x:v>
      </x:c>
    </x:row>
    <x:row r="356">
      <x:c r="A356" s="14" t="n">
        <x:v>71</x:v>
      </x:c>
      <x:c r="B356" s="14" t="n">
        <x:v>5</x:v>
      </x:c>
      <x:c r="C356" s="14" t="n">
        <x:v>1</x:v>
      </x:c>
      <x:c r="D356" s="15" t="n">
        <x:f>IF(AND(C356=1,INDEX('Respondents'!$C$2:$C$121,MATCH(A356,'Respondents'!$A$2:$A$121,0))&gt;=INDEX('Strategies'!$C$2:$C$6,MATCH(B356,'Strategies'!$A$2:$A$6,0))),1,0)</x:f>
        <x:v>1</x:v>
      </x:c>
      <x:c r="E356" s="15" t="n">
        <x:f>INDEX('Respondents'!$B$2:$B$121,MATCH(A356,'Respondents'!$A$2:$A$121,0))</x:f>
        <x:v>3</x:v>
      </x:c>
    </x:row>
    <x:row r="357">
      <x:c r="A357" s="14" t="n">
        <x:v>72</x:v>
      </x:c>
      <x:c r="B357" s="14" t="n">
        <x:v>1</x:v>
      </x:c>
      <x:c r="C357" s="14" t="n">
        <x:v>1</x:v>
      </x:c>
      <x:c r="D357" s="15" t="n">
        <x:f>IF(AND(C357=1,INDEX('Respondents'!$C$2:$C$121,MATCH(A357,'Respondents'!$A$2:$A$121,0))&gt;=INDEX('Strategies'!$C$2:$C$6,MATCH(B357,'Strategies'!$A$2:$A$6,0))),1,0)</x:f>
        <x:v>1</x:v>
      </x:c>
      <x:c r="E357" s="15" t="n">
        <x:f>INDEX('Respondents'!$B$2:$B$121,MATCH(A357,'Respondents'!$A$2:$A$121,0))</x:f>
        <x:v>3</x:v>
      </x:c>
    </x:row>
    <x:row r="358">
      <x:c r="A358" s="14" t="n">
        <x:v>72</x:v>
      </x:c>
      <x:c r="B358" s="14" t="n">
        <x:v>2</x:v>
      </x:c>
      <x:c r="C358" s="14" t="n">
        <x:v>0</x:v>
      </x:c>
      <x:c r="D358" s="15" t="n">
        <x:f>IF(AND(C358=1,INDEX('Respondents'!$C$2:$C$121,MATCH(A358,'Respondents'!$A$2:$A$121,0))&gt;=INDEX('Strategies'!$C$2:$C$6,MATCH(B358,'Strategies'!$A$2:$A$6,0))),1,0)</x:f>
        <x:v>0</x:v>
      </x:c>
      <x:c r="E358" s="15" t="n">
        <x:f>INDEX('Respondents'!$B$2:$B$121,MATCH(A358,'Respondents'!$A$2:$A$121,0))</x:f>
        <x:v>3</x:v>
      </x:c>
    </x:row>
    <x:row r="359">
      <x:c r="A359" s="14" t="n">
        <x:v>72</x:v>
      </x:c>
      <x:c r="B359" s="14" t="n">
        <x:v>3</x:v>
      </x:c>
      <x:c r="C359" s="14" t="n">
        <x:v>0</x:v>
      </x:c>
      <x:c r="D359" s="15" t="n">
        <x:f>IF(AND(C359=1,INDEX('Respondents'!$C$2:$C$121,MATCH(A359,'Respondents'!$A$2:$A$121,0))&gt;=INDEX('Strategies'!$C$2:$C$6,MATCH(B359,'Strategies'!$A$2:$A$6,0))),1,0)</x:f>
        <x:v>0</x:v>
      </x:c>
      <x:c r="E359" s="15" t="n">
        <x:f>INDEX('Respondents'!$B$2:$B$121,MATCH(A359,'Respondents'!$A$2:$A$121,0))</x:f>
        <x:v>3</x:v>
      </x:c>
    </x:row>
    <x:row r="360">
      <x:c r="A360" s="14" t="n">
        <x:v>72</x:v>
      </x:c>
      <x:c r="B360" s="14" t="n">
        <x:v>4</x:v>
      </x:c>
      <x:c r="C360" s="14" t="n">
        <x:v>0</x:v>
      </x:c>
      <x:c r="D360" s="15" t="n">
        <x:f>IF(AND(C360=1,INDEX('Respondents'!$C$2:$C$121,MATCH(A360,'Respondents'!$A$2:$A$121,0))&gt;=INDEX('Strategies'!$C$2:$C$6,MATCH(B360,'Strategies'!$A$2:$A$6,0))),1,0)</x:f>
        <x:v>0</x:v>
      </x:c>
      <x:c r="E360" s="15" t="n">
        <x:f>INDEX('Respondents'!$B$2:$B$121,MATCH(A360,'Respondents'!$A$2:$A$121,0))</x:f>
        <x:v>3</x:v>
      </x:c>
    </x:row>
    <x:row r="361">
      <x:c r="A361" s="14" t="n">
        <x:v>72</x:v>
      </x:c>
      <x:c r="B361" s="14" t="n">
        <x:v>5</x:v>
      </x:c>
      <x:c r="C361" s="14" t="n">
        <x:v>1</x:v>
      </x:c>
      <x:c r="D361" s="15" t="n">
        <x:f>IF(AND(C361=1,INDEX('Respondents'!$C$2:$C$121,MATCH(A361,'Respondents'!$A$2:$A$121,0))&gt;=INDEX('Strategies'!$C$2:$C$6,MATCH(B361,'Strategies'!$A$2:$A$6,0))),1,0)</x:f>
        <x:v>1</x:v>
      </x:c>
      <x:c r="E361" s="15" t="n">
        <x:f>INDEX('Respondents'!$B$2:$B$121,MATCH(A361,'Respondents'!$A$2:$A$121,0))</x:f>
        <x:v>3</x:v>
      </x:c>
    </x:row>
    <x:row r="362">
      <x:c r="A362" s="14" t="n">
        <x:v>73</x:v>
      </x:c>
      <x:c r="B362" s="14" t="n">
        <x:v>1</x:v>
      </x:c>
      <x:c r="C362" s="14" t="n">
        <x:v>0</x:v>
      </x:c>
      <x:c r="D362" s="15" t="n">
        <x:f>IF(AND(C362=1,INDEX('Respondents'!$C$2:$C$121,MATCH(A362,'Respondents'!$A$2:$A$121,0))&gt;=INDEX('Strategies'!$C$2:$C$6,MATCH(B362,'Strategies'!$A$2:$A$6,0))),1,0)</x:f>
        <x:v>0</x:v>
      </x:c>
      <x:c r="E362" s="15" t="n">
        <x:f>INDEX('Respondents'!$B$2:$B$121,MATCH(A362,'Respondents'!$A$2:$A$121,0))</x:f>
        <x:v>3</x:v>
      </x:c>
    </x:row>
    <x:row r="363">
      <x:c r="A363" s="14" t="n">
        <x:v>73</x:v>
      </x:c>
      <x:c r="B363" s="14" t="n">
        <x:v>2</x:v>
      </x:c>
      <x:c r="C363" s="14" t="n">
        <x:v>0</x:v>
      </x:c>
      <x:c r="D363" s="15" t="n">
        <x:f>IF(AND(C363=1,INDEX('Respondents'!$C$2:$C$121,MATCH(A363,'Respondents'!$A$2:$A$121,0))&gt;=INDEX('Strategies'!$C$2:$C$6,MATCH(B363,'Strategies'!$A$2:$A$6,0))),1,0)</x:f>
        <x:v>0</x:v>
      </x:c>
      <x:c r="E363" s="15" t="n">
        <x:f>INDEX('Respondents'!$B$2:$B$121,MATCH(A363,'Respondents'!$A$2:$A$121,0))</x:f>
        <x:v>3</x:v>
      </x:c>
    </x:row>
    <x:row r="364">
      <x:c r="A364" s="14" t="n">
        <x:v>73</x:v>
      </x:c>
      <x:c r="B364" s="14" t="n">
        <x:v>3</x:v>
      </x:c>
      <x:c r="C364" s="14" t="n">
        <x:v>0</x:v>
      </x:c>
      <x:c r="D364" s="15" t="n">
        <x:f>IF(AND(C364=1,INDEX('Respondents'!$C$2:$C$121,MATCH(A364,'Respondents'!$A$2:$A$121,0))&gt;=INDEX('Strategies'!$C$2:$C$6,MATCH(B364,'Strategies'!$A$2:$A$6,0))),1,0)</x:f>
        <x:v>0</x:v>
      </x:c>
      <x:c r="E364" s="15" t="n">
        <x:f>INDEX('Respondents'!$B$2:$B$121,MATCH(A364,'Respondents'!$A$2:$A$121,0))</x:f>
        <x:v>3</x:v>
      </x:c>
    </x:row>
    <x:row r="365">
      <x:c r="A365" s="14" t="n">
        <x:v>73</x:v>
      </x:c>
      <x:c r="B365" s="14" t="n">
        <x:v>4</x:v>
      </x:c>
      <x:c r="C365" s="14" t="n">
        <x:v>0</x:v>
      </x:c>
      <x:c r="D365" s="15" t="n">
        <x:f>IF(AND(C365=1,INDEX('Respondents'!$C$2:$C$121,MATCH(A365,'Respondents'!$A$2:$A$121,0))&gt;=INDEX('Strategies'!$C$2:$C$6,MATCH(B365,'Strategies'!$A$2:$A$6,0))),1,0)</x:f>
        <x:v>0</x:v>
      </x:c>
      <x:c r="E365" s="15" t="n">
        <x:f>INDEX('Respondents'!$B$2:$B$121,MATCH(A365,'Respondents'!$A$2:$A$121,0))</x:f>
        <x:v>3</x:v>
      </x:c>
    </x:row>
    <x:row r="366">
      <x:c r="A366" s="14" t="n">
        <x:v>73</x:v>
      </x:c>
      <x:c r="B366" s="14" t="n">
        <x:v>5</x:v>
      </x:c>
      <x:c r="C366" s="14" t="n">
        <x:v>0</x:v>
      </x:c>
      <x:c r="D366" s="15" t="n">
        <x:f>IF(AND(C366=1,INDEX('Respondents'!$C$2:$C$121,MATCH(A366,'Respondents'!$A$2:$A$121,0))&gt;=INDEX('Strategies'!$C$2:$C$6,MATCH(B366,'Strategies'!$A$2:$A$6,0))),1,0)</x:f>
        <x:v>0</x:v>
      </x:c>
      <x:c r="E366" s="15" t="n">
        <x:f>INDEX('Respondents'!$B$2:$B$121,MATCH(A366,'Respondents'!$A$2:$A$121,0))</x:f>
        <x:v>3</x:v>
      </x:c>
    </x:row>
    <x:row r="367">
      <x:c r="A367" s="14" t="n">
        <x:v>74</x:v>
      </x:c>
      <x:c r="B367" s="14" t="n">
        <x:v>1</x:v>
      </x:c>
      <x:c r="C367" s="14" t="n">
        <x:v>0</x:v>
      </x:c>
      <x:c r="D367" s="15" t="n">
        <x:f>IF(AND(C367=1,INDEX('Respondents'!$C$2:$C$121,MATCH(A367,'Respondents'!$A$2:$A$121,0))&gt;=INDEX('Strategies'!$C$2:$C$6,MATCH(B367,'Strategies'!$A$2:$A$6,0))),1,0)</x:f>
        <x:v>0</x:v>
      </x:c>
      <x:c r="E367" s="15" t="n">
        <x:f>INDEX('Respondents'!$B$2:$B$121,MATCH(A367,'Respondents'!$A$2:$A$121,0))</x:f>
        <x:v>3</x:v>
      </x:c>
    </x:row>
    <x:row r="368">
      <x:c r="A368" s="14" t="n">
        <x:v>74</x:v>
      </x:c>
      <x:c r="B368" s="14" t="n">
        <x:v>2</x:v>
      </x:c>
      <x:c r="C368" s="14" t="n">
        <x:v>0</x:v>
      </x:c>
      <x:c r="D368" s="15" t="n">
        <x:f>IF(AND(C368=1,INDEX('Respondents'!$C$2:$C$121,MATCH(A368,'Respondents'!$A$2:$A$121,0))&gt;=INDEX('Strategies'!$C$2:$C$6,MATCH(B368,'Strategies'!$A$2:$A$6,0))),1,0)</x:f>
        <x:v>0</x:v>
      </x:c>
      <x:c r="E368" s="15" t="n">
        <x:f>INDEX('Respondents'!$B$2:$B$121,MATCH(A368,'Respondents'!$A$2:$A$121,0))</x:f>
        <x:v>3</x:v>
      </x:c>
    </x:row>
    <x:row r="369">
      <x:c r="A369" s="14" t="n">
        <x:v>74</x:v>
      </x:c>
      <x:c r="B369" s="14" t="n">
        <x:v>3</x:v>
      </x:c>
      <x:c r="C369" s="14" t="n">
        <x:v>0</x:v>
      </x:c>
      <x:c r="D369" s="15" t="n">
        <x:f>IF(AND(C369=1,INDEX('Respondents'!$C$2:$C$121,MATCH(A369,'Respondents'!$A$2:$A$121,0))&gt;=INDEX('Strategies'!$C$2:$C$6,MATCH(B369,'Strategies'!$A$2:$A$6,0))),1,0)</x:f>
        <x:v>0</x:v>
      </x:c>
      <x:c r="E369" s="15" t="n">
        <x:f>INDEX('Respondents'!$B$2:$B$121,MATCH(A369,'Respondents'!$A$2:$A$121,0))</x:f>
        <x:v>3</x:v>
      </x:c>
    </x:row>
    <x:row r="370">
      <x:c r="A370" s="14" t="n">
        <x:v>74</x:v>
      </x:c>
      <x:c r="B370" s="14" t="n">
        <x:v>4</x:v>
      </x:c>
      <x:c r="C370" s="14" t="n">
        <x:v>0</x:v>
      </x:c>
      <x:c r="D370" s="15" t="n">
        <x:f>IF(AND(C370=1,INDEX('Respondents'!$C$2:$C$121,MATCH(A370,'Respondents'!$A$2:$A$121,0))&gt;=INDEX('Strategies'!$C$2:$C$6,MATCH(B370,'Strategies'!$A$2:$A$6,0))),1,0)</x:f>
        <x:v>0</x:v>
      </x:c>
      <x:c r="E370" s="15" t="n">
        <x:f>INDEX('Respondents'!$B$2:$B$121,MATCH(A370,'Respondents'!$A$2:$A$121,0))</x:f>
        <x:v>3</x:v>
      </x:c>
    </x:row>
    <x:row r="371">
      <x:c r="A371" s="14" t="n">
        <x:v>74</x:v>
      </x:c>
      <x:c r="B371" s="14" t="n">
        <x:v>5</x:v>
      </x:c>
      <x:c r="C371" s="14" t="n">
        <x:v>1</x:v>
      </x:c>
      <x:c r="D371" s="15" t="n">
        <x:f>IF(AND(C371=1,INDEX('Respondents'!$C$2:$C$121,MATCH(A371,'Respondents'!$A$2:$A$121,0))&gt;=INDEX('Strategies'!$C$2:$C$6,MATCH(B371,'Strategies'!$A$2:$A$6,0))),1,0)</x:f>
        <x:v>1</x:v>
      </x:c>
      <x:c r="E371" s="15" t="n">
        <x:f>INDEX('Respondents'!$B$2:$B$121,MATCH(A371,'Respondents'!$A$2:$A$121,0))</x:f>
        <x:v>3</x:v>
      </x:c>
    </x:row>
    <x:row r="372">
      <x:c r="A372" s="14" t="n">
        <x:v>75</x:v>
      </x:c>
      <x:c r="B372" s="14" t="n">
        <x:v>1</x:v>
      </x:c>
      <x:c r="C372" s="14" t="n">
        <x:v>1</x:v>
      </x:c>
      <x:c r="D372" s="15" t="n">
        <x:f>IF(AND(C372=1,INDEX('Respondents'!$C$2:$C$121,MATCH(A372,'Respondents'!$A$2:$A$121,0))&gt;=INDEX('Strategies'!$C$2:$C$6,MATCH(B372,'Strategies'!$A$2:$A$6,0))),1,0)</x:f>
        <x:v>1</x:v>
      </x:c>
      <x:c r="E372" s="15" t="n">
        <x:f>INDEX('Respondents'!$B$2:$B$121,MATCH(A372,'Respondents'!$A$2:$A$121,0))</x:f>
        <x:v>3</x:v>
      </x:c>
    </x:row>
    <x:row r="373">
      <x:c r="A373" s="14" t="n">
        <x:v>75</x:v>
      </x:c>
      <x:c r="B373" s="14" t="n">
        <x:v>2</x:v>
      </x:c>
      <x:c r="C373" s="14" t="n">
        <x:v>0</x:v>
      </x:c>
      <x:c r="D373" s="15" t="n">
        <x:f>IF(AND(C373=1,INDEX('Respondents'!$C$2:$C$121,MATCH(A373,'Respondents'!$A$2:$A$121,0))&gt;=INDEX('Strategies'!$C$2:$C$6,MATCH(B373,'Strategies'!$A$2:$A$6,0))),1,0)</x:f>
        <x:v>0</x:v>
      </x:c>
      <x:c r="E373" s="15" t="n">
        <x:f>INDEX('Respondents'!$B$2:$B$121,MATCH(A373,'Respondents'!$A$2:$A$121,0))</x:f>
        <x:v>3</x:v>
      </x:c>
    </x:row>
    <x:row r="374">
      <x:c r="A374" s="14" t="n">
        <x:v>75</x:v>
      </x:c>
      <x:c r="B374" s="14" t="n">
        <x:v>3</x:v>
      </x:c>
      <x:c r="C374" s="14" t="n">
        <x:v>0</x:v>
      </x:c>
      <x:c r="D374" s="15" t="n">
        <x:f>IF(AND(C374=1,INDEX('Respondents'!$C$2:$C$121,MATCH(A374,'Respondents'!$A$2:$A$121,0))&gt;=INDEX('Strategies'!$C$2:$C$6,MATCH(B374,'Strategies'!$A$2:$A$6,0))),1,0)</x:f>
        <x:v>0</x:v>
      </x:c>
      <x:c r="E374" s="15" t="n">
        <x:f>INDEX('Respondents'!$B$2:$B$121,MATCH(A374,'Respondents'!$A$2:$A$121,0))</x:f>
        <x:v>3</x:v>
      </x:c>
    </x:row>
    <x:row r="375">
      <x:c r="A375" s="14" t="n">
        <x:v>75</x:v>
      </x:c>
      <x:c r="B375" s="14" t="n">
        <x:v>4</x:v>
      </x:c>
      <x:c r="C375" s="14" t="n">
        <x:v>0</x:v>
      </x:c>
      <x:c r="D375" s="15" t="n">
        <x:f>IF(AND(C375=1,INDEX('Respondents'!$C$2:$C$121,MATCH(A375,'Respondents'!$A$2:$A$121,0))&gt;=INDEX('Strategies'!$C$2:$C$6,MATCH(B375,'Strategies'!$A$2:$A$6,0))),1,0)</x:f>
        <x:v>0</x:v>
      </x:c>
      <x:c r="E375" s="15" t="n">
        <x:f>INDEX('Respondents'!$B$2:$B$121,MATCH(A375,'Respondents'!$A$2:$A$121,0))</x:f>
        <x:v>3</x:v>
      </x:c>
    </x:row>
    <x:row r="376">
      <x:c r="A376" s="14" t="n">
        <x:v>75</x:v>
      </x:c>
      <x:c r="B376" s="14" t="n">
        <x:v>5</x:v>
      </x:c>
      <x:c r="C376" s="14" t="n">
        <x:v>1</x:v>
      </x:c>
      <x:c r="D376" s="15" t="n">
        <x:f>IF(AND(C376=1,INDEX('Respondents'!$C$2:$C$121,MATCH(A376,'Respondents'!$A$2:$A$121,0))&gt;=INDEX('Strategies'!$C$2:$C$6,MATCH(B376,'Strategies'!$A$2:$A$6,0))),1,0)</x:f>
        <x:v>1</x:v>
      </x:c>
      <x:c r="E376" s="15" t="n">
        <x:f>INDEX('Respondents'!$B$2:$B$121,MATCH(A376,'Respondents'!$A$2:$A$121,0))</x:f>
        <x:v>3</x:v>
      </x:c>
    </x:row>
    <x:row r="377">
      <x:c r="A377" s="14" t="n">
        <x:v>76</x:v>
      </x:c>
      <x:c r="B377" s="14" t="n">
        <x:v>1</x:v>
      </x:c>
      <x:c r="C377" s="14" t="n">
        <x:v>1</x:v>
      </x:c>
      <x:c r="D377" s="15" t="n">
        <x:f>IF(AND(C377=1,INDEX('Respondents'!$C$2:$C$121,MATCH(A377,'Respondents'!$A$2:$A$121,0))&gt;=INDEX('Strategies'!$C$2:$C$6,MATCH(B377,'Strategies'!$A$2:$A$6,0))),1,0)</x:f>
        <x:v>1</x:v>
      </x:c>
      <x:c r="E377" s="15" t="n">
        <x:f>INDEX('Respondents'!$B$2:$B$121,MATCH(A377,'Respondents'!$A$2:$A$121,0))</x:f>
        <x:v>3</x:v>
      </x:c>
    </x:row>
    <x:row r="378">
      <x:c r="A378" s="14" t="n">
        <x:v>76</x:v>
      </x:c>
      <x:c r="B378" s="14" t="n">
        <x:v>2</x:v>
      </x:c>
      <x:c r="C378" s="14" t="n">
        <x:v>0</x:v>
      </x:c>
      <x:c r="D378" s="15" t="n">
        <x:f>IF(AND(C378=1,INDEX('Respondents'!$C$2:$C$121,MATCH(A378,'Respondents'!$A$2:$A$121,0))&gt;=INDEX('Strategies'!$C$2:$C$6,MATCH(B378,'Strategies'!$A$2:$A$6,0))),1,0)</x:f>
        <x:v>0</x:v>
      </x:c>
      <x:c r="E378" s="15" t="n">
        <x:f>INDEX('Respondents'!$B$2:$B$121,MATCH(A378,'Respondents'!$A$2:$A$121,0))</x:f>
        <x:v>3</x:v>
      </x:c>
    </x:row>
    <x:row r="379">
      <x:c r="A379" s="14" t="n">
        <x:v>76</x:v>
      </x:c>
      <x:c r="B379" s="14" t="n">
        <x:v>3</x:v>
      </x:c>
      <x:c r="C379" s="14" t="n">
        <x:v>0</x:v>
      </x:c>
      <x:c r="D379" s="15" t="n">
        <x:f>IF(AND(C379=1,INDEX('Respondents'!$C$2:$C$121,MATCH(A379,'Respondents'!$A$2:$A$121,0))&gt;=INDEX('Strategies'!$C$2:$C$6,MATCH(B379,'Strategies'!$A$2:$A$6,0))),1,0)</x:f>
        <x:v>0</x:v>
      </x:c>
      <x:c r="E379" s="15" t="n">
        <x:f>INDEX('Respondents'!$B$2:$B$121,MATCH(A379,'Respondents'!$A$2:$A$121,0))</x:f>
        <x:v>3</x:v>
      </x:c>
    </x:row>
    <x:row r="380">
      <x:c r="A380" s="14" t="n">
        <x:v>76</x:v>
      </x:c>
      <x:c r="B380" s="14" t="n">
        <x:v>4</x:v>
      </x:c>
      <x:c r="C380" s="14" t="n">
        <x:v>0</x:v>
      </x:c>
      <x:c r="D380" s="15" t="n">
        <x:f>IF(AND(C380=1,INDEX('Respondents'!$C$2:$C$121,MATCH(A380,'Respondents'!$A$2:$A$121,0))&gt;=INDEX('Strategies'!$C$2:$C$6,MATCH(B380,'Strategies'!$A$2:$A$6,0))),1,0)</x:f>
        <x:v>0</x:v>
      </x:c>
      <x:c r="E380" s="15" t="n">
        <x:f>INDEX('Respondents'!$B$2:$B$121,MATCH(A380,'Respondents'!$A$2:$A$121,0))</x:f>
        <x:v>3</x:v>
      </x:c>
    </x:row>
    <x:row r="381">
      <x:c r="A381" s="14" t="n">
        <x:v>76</x:v>
      </x:c>
      <x:c r="B381" s="14" t="n">
        <x:v>5</x:v>
      </x:c>
      <x:c r="C381" s="14" t="n">
        <x:v>0</x:v>
      </x:c>
      <x:c r="D381" s="15" t="n">
        <x:f>IF(AND(C381=1,INDEX('Respondents'!$C$2:$C$121,MATCH(A381,'Respondents'!$A$2:$A$121,0))&gt;=INDEX('Strategies'!$C$2:$C$6,MATCH(B381,'Strategies'!$A$2:$A$6,0))),1,0)</x:f>
        <x:v>0</x:v>
      </x:c>
      <x:c r="E381" s="15" t="n">
        <x:f>INDEX('Respondents'!$B$2:$B$121,MATCH(A381,'Respondents'!$A$2:$A$121,0))</x:f>
        <x:v>3</x:v>
      </x:c>
    </x:row>
    <x:row r="382">
      <x:c r="A382" s="14" t="n">
        <x:v>77</x:v>
      </x:c>
      <x:c r="B382" s="14" t="n">
        <x:v>1</x:v>
      </x:c>
      <x:c r="C382" s="14" t="n">
        <x:v>1</x:v>
      </x:c>
      <x:c r="D382" s="15" t="n">
        <x:f>IF(AND(C382=1,INDEX('Respondents'!$C$2:$C$121,MATCH(A382,'Respondents'!$A$2:$A$121,0))&gt;=INDEX('Strategies'!$C$2:$C$6,MATCH(B382,'Strategies'!$A$2:$A$6,0))),1,0)</x:f>
        <x:v>0</x:v>
      </x:c>
      <x:c r="E382" s="15" t="n">
        <x:f>INDEX('Respondents'!$B$2:$B$121,MATCH(A382,'Respondents'!$A$2:$A$121,0))</x:f>
        <x:v>3</x:v>
      </x:c>
    </x:row>
    <x:row r="383">
      <x:c r="A383" s="14" t="n">
        <x:v>77</x:v>
      </x:c>
      <x:c r="B383" s="14" t="n">
        <x:v>2</x:v>
      </x:c>
      <x:c r="C383" s="14" t="n">
        <x:v>1</x:v>
      </x:c>
      <x:c r="D383" s="15" t="n">
        <x:f>IF(AND(C383=1,INDEX('Respondents'!$C$2:$C$121,MATCH(A383,'Respondents'!$A$2:$A$121,0))&gt;=INDEX('Strategies'!$C$2:$C$6,MATCH(B383,'Strategies'!$A$2:$A$6,0))),1,0)</x:f>
        <x:v>1</x:v>
      </x:c>
      <x:c r="E383" s="15" t="n">
        <x:f>INDEX('Respondents'!$B$2:$B$121,MATCH(A383,'Respondents'!$A$2:$A$121,0))</x:f>
        <x:v>3</x:v>
      </x:c>
    </x:row>
    <x:row r="384">
      <x:c r="A384" s="14" t="n">
        <x:v>77</x:v>
      </x:c>
      <x:c r="B384" s="14" t="n">
        <x:v>3</x:v>
      </x:c>
      <x:c r="C384" s="14" t="n">
        <x:v>0</x:v>
      </x:c>
      <x:c r="D384" s="15" t="n">
        <x:f>IF(AND(C384=1,INDEX('Respondents'!$C$2:$C$121,MATCH(A384,'Respondents'!$A$2:$A$121,0))&gt;=INDEX('Strategies'!$C$2:$C$6,MATCH(B384,'Strategies'!$A$2:$A$6,0))),1,0)</x:f>
        <x:v>0</x:v>
      </x:c>
      <x:c r="E384" s="15" t="n">
        <x:f>INDEX('Respondents'!$B$2:$B$121,MATCH(A384,'Respondents'!$A$2:$A$121,0))</x:f>
        <x:v>3</x:v>
      </x:c>
    </x:row>
    <x:row r="385">
      <x:c r="A385" s="14" t="n">
        <x:v>77</x:v>
      </x:c>
      <x:c r="B385" s="14" t="n">
        <x:v>4</x:v>
      </x:c>
      <x:c r="C385" s="14" t="n">
        <x:v>0</x:v>
      </x:c>
      <x:c r="D385" s="15" t="n">
        <x:f>IF(AND(C385=1,INDEX('Respondents'!$C$2:$C$121,MATCH(A385,'Respondents'!$A$2:$A$121,0))&gt;=INDEX('Strategies'!$C$2:$C$6,MATCH(B385,'Strategies'!$A$2:$A$6,0))),1,0)</x:f>
        <x:v>0</x:v>
      </x:c>
      <x:c r="E385" s="15" t="n">
        <x:f>INDEX('Respondents'!$B$2:$B$121,MATCH(A385,'Respondents'!$A$2:$A$121,0))</x:f>
        <x:v>3</x:v>
      </x:c>
    </x:row>
    <x:row r="386">
      <x:c r="A386" s="14" t="n">
        <x:v>77</x:v>
      </x:c>
      <x:c r="B386" s="14" t="n">
        <x:v>5</x:v>
      </x:c>
      <x:c r="C386" s="14" t="n">
        <x:v>0</x:v>
      </x:c>
      <x:c r="D386" s="15" t="n">
        <x:f>IF(AND(C386=1,INDEX('Respondents'!$C$2:$C$121,MATCH(A386,'Respondents'!$A$2:$A$121,0))&gt;=INDEX('Strategies'!$C$2:$C$6,MATCH(B386,'Strategies'!$A$2:$A$6,0))),1,0)</x:f>
        <x:v>0</x:v>
      </x:c>
      <x:c r="E386" s="15" t="n">
        <x:f>INDEX('Respondents'!$B$2:$B$121,MATCH(A386,'Respondents'!$A$2:$A$121,0))</x:f>
        <x:v>3</x:v>
      </x:c>
    </x:row>
    <x:row r="387">
      <x:c r="A387" s="14" t="n">
        <x:v>78</x:v>
      </x:c>
      <x:c r="B387" s="14" t="n">
        <x:v>1</x:v>
      </x:c>
      <x:c r="C387" s="14" t="n">
        <x:v>1</x:v>
      </x:c>
      <x:c r="D387" s="15" t="n">
        <x:f>IF(AND(C387=1,INDEX('Respondents'!$C$2:$C$121,MATCH(A387,'Respondents'!$A$2:$A$121,0))&gt;=INDEX('Strategies'!$C$2:$C$6,MATCH(B387,'Strategies'!$A$2:$A$6,0))),1,0)</x:f>
        <x:v>1</x:v>
      </x:c>
      <x:c r="E387" s="15" t="n">
        <x:f>INDEX('Respondents'!$B$2:$B$121,MATCH(A387,'Respondents'!$A$2:$A$121,0))</x:f>
        <x:v>3</x:v>
      </x:c>
    </x:row>
    <x:row r="388">
      <x:c r="A388" s="14" t="n">
        <x:v>78</x:v>
      </x:c>
      <x:c r="B388" s="14" t="n">
        <x:v>2</x:v>
      </x:c>
      <x:c r="C388" s="14" t="n">
        <x:v>0</x:v>
      </x:c>
      <x:c r="D388" s="15" t="n">
        <x:f>IF(AND(C388=1,INDEX('Respondents'!$C$2:$C$121,MATCH(A388,'Respondents'!$A$2:$A$121,0))&gt;=INDEX('Strategies'!$C$2:$C$6,MATCH(B388,'Strategies'!$A$2:$A$6,0))),1,0)</x:f>
        <x:v>0</x:v>
      </x:c>
      <x:c r="E388" s="15" t="n">
        <x:f>INDEX('Respondents'!$B$2:$B$121,MATCH(A388,'Respondents'!$A$2:$A$121,0))</x:f>
        <x:v>3</x:v>
      </x:c>
    </x:row>
    <x:row r="389">
      <x:c r="A389" s="14" t="n">
        <x:v>78</x:v>
      </x:c>
      <x:c r="B389" s="14" t="n">
        <x:v>3</x:v>
      </x:c>
      <x:c r="C389" s="14" t="n">
        <x:v>1</x:v>
      </x:c>
      <x:c r="D389" s="15" t="n">
        <x:f>IF(AND(C389=1,INDEX('Respondents'!$C$2:$C$121,MATCH(A389,'Respondents'!$A$2:$A$121,0))&gt;=INDEX('Strategies'!$C$2:$C$6,MATCH(B389,'Strategies'!$A$2:$A$6,0))),1,0)</x:f>
        <x:v>1</x:v>
      </x:c>
      <x:c r="E389" s="15" t="n">
        <x:f>INDEX('Respondents'!$B$2:$B$121,MATCH(A389,'Respondents'!$A$2:$A$121,0))</x:f>
        <x:v>3</x:v>
      </x:c>
    </x:row>
    <x:row r="390">
      <x:c r="A390" s="14" t="n">
        <x:v>78</x:v>
      </x:c>
      <x:c r="B390" s="14" t="n">
        <x:v>4</x:v>
      </x:c>
      <x:c r="C390" s="14" t="n">
        <x:v>0</x:v>
      </x:c>
      <x:c r="D390" s="15" t="n">
        <x:f>IF(AND(C390=1,INDEX('Respondents'!$C$2:$C$121,MATCH(A390,'Respondents'!$A$2:$A$121,0))&gt;=INDEX('Strategies'!$C$2:$C$6,MATCH(B390,'Strategies'!$A$2:$A$6,0))),1,0)</x:f>
        <x:v>0</x:v>
      </x:c>
      <x:c r="E390" s="15" t="n">
        <x:f>INDEX('Respondents'!$B$2:$B$121,MATCH(A390,'Respondents'!$A$2:$A$121,0))</x:f>
        <x:v>3</x:v>
      </x:c>
    </x:row>
    <x:row r="391">
      <x:c r="A391" s="14" t="n">
        <x:v>78</x:v>
      </x:c>
      <x:c r="B391" s="14" t="n">
        <x:v>5</x:v>
      </x:c>
      <x:c r="C391" s="14" t="n">
        <x:v>0</x:v>
      </x:c>
      <x:c r="D391" s="15" t="n">
        <x:f>IF(AND(C391=1,INDEX('Respondents'!$C$2:$C$121,MATCH(A391,'Respondents'!$A$2:$A$121,0))&gt;=INDEX('Strategies'!$C$2:$C$6,MATCH(B391,'Strategies'!$A$2:$A$6,0))),1,0)</x:f>
        <x:v>0</x:v>
      </x:c>
      <x:c r="E391" s="15" t="n">
        <x:f>INDEX('Respondents'!$B$2:$B$121,MATCH(A391,'Respondents'!$A$2:$A$121,0))</x:f>
        <x:v>3</x:v>
      </x:c>
    </x:row>
    <x:row r="392">
      <x:c r="A392" s="14" t="n">
        <x:v>79</x:v>
      </x:c>
      <x:c r="B392" s="14" t="n">
        <x:v>1</x:v>
      </x:c>
      <x:c r="C392" s="14" t="n">
        <x:v>1</x:v>
      </x:c>
      <x:c r="D392" s="15" t="n">
        <x:f>IF(AND(C392=1,INDEX('Respondents'!$C$2:$C$121,MATCH(A392,'Respondents'!$A$2:$A$121,0))&gt;=INDEX('Strategies'!$C$2:$C$6,MATCH(B392,'Strategies'!$A$2:$A$6,0))),1,0)</x:f>
        <x:v>1</x:v>
      </x:c>
      <x:c r="E392" s="15" t="n">
        <x:f>INDEX('Respondents'!$B$2:$B$121,MATCH(A392,'Respondents'!$A$2:$A$121,0))</x:f>
        <x:v>3</x:v>
      </x:c>
    </x:row>
    <x:row r="393">
      <x:c r="A393" s="14" t="n">
        <x:v>79</x:v>
      </x:c>
      <x:c r="B393" s="14" t="n">
        <x:v>2</x:v>
      </x:c>
      <x:c r="C393" s="14" t="n">
        <x:v>0</x:v>
      </x:c>
      <x:c r="D393" s="15" t="n">
        <x:f>IF(AND(C393=1,INDEX('Respondents'!$C$2:$C$121,MATCH(A393,'Respondents'!$A$2:$A$121,0))&gt;=INDEX('Strategies'!$C$2:$C$6,MATCH(B393,'Strategies'!$A$2:$A$6,0))),1,0)</x:f>
        <x:v>0</x:v>
      </x:c>
      <x:c r="E393" s="15" t="n">
        <x:f>INDEX('Respondents'!$B$2:$B$121,MATCH(A393,'Respondents'!$A$2:$A$121,0))</x:f>
        <x:v>3</x:v>
      </x:c>
    </x:row>
    <x:row r="394">
      <x:c r="A394" s="14" t="n">
        <x:v>79</x:v>
      </x:c>
      <x:c r="B394" s="14" t="n">
        <x:v>3</x:v>
      </x:c>
      <x:c r="C394" s="14" t="n">
        <x:v>1</x:v>
      </x:c>
      <x:c r="D394" s="15" t="n">
        <x:f>IF(AND(C394=1,INDEX('Respondents'!$C$2:$C$121,MATCH(A394,'Respondents'!$A$2:$A$121,0))&gt;=INDEX('Strategies'!$C$2:$C$6,MATCH(B394,'Strategies'!$A$2:$A$6,0))),1,0)</x:f>
        <x:v>1</x:v>
      </x:c>
      <x:c r="E394" s="15" t="n">
        <x:f>INDEX('Respondents'!$B$2:$B$121,MATCH(A394,'Respondents'!$A$2:$A$121,0))</x:f>
        <x:v>3</x:v>
      </x:c>
    </x:row>
    <x:row r="395">
      <x:c r="A395" s="14" t="n">
        <x:v>79</x:v>
      </x:c>
      <x:c r="B395" s="14" t="n">
        <x:v>4</x:v>
      </x:c>
      <x:c r="C395" s="14" t="n">
        <x:v>1</x:v>
      </x:c>
      <x:c r="D395" s="15" t="n">
        <x:f>IF(AND(C395=1,INDEX('Respondents'!$C$2:$C$121,MATCH(A395,'Respondents'!$A$2:$A$121,0))&gt;=INDEX('Strategies'!$C$2:$C$6,MATCH(B395,'Strategies'!$A$2:$A$6,0))),1,0)</x:f>
        <x:v>1</x:v>
      </x:c>
      <x:c r="E395" s="15" t="n">
        <x:f>INDEX('Respondents'!$B$2:$B$121,MATCH(A395,'Respondents'!$A$2:$A$121,0))</x:f>
        <x:v>3</x:v>
      </x:c>
    </x:row>
    <x:row r="396">
      <x:c r="A396" s="14" t="n">
        <x:v>79</x:v>
      </x:c>
      <x:c r="B396" s="14" t="n">
        <x:v>5</x:v>
      </x:c>
      <x:c r="C396" s="14" t="n">
        <x:v>1</x:v>
      </x:c>
      <x:c r="D396" s="15" t="n">
        <x:f>IF(AND(C396=1,INDEX('Respondents'!$C$2:$C$121,MATCH(A396,'Respondents'!$A$2:$A$121,0))&gt;=INDEX('Strategies'!$C$2:$C$6,MATCH(B396,'Strategies'!$A$2:$A$6,0))),1,0)</x:f>
        <x:v>1</x:v>
      </x:c>
      <x:c r="E396" s="15" t="n">
        <x:f>INDEX('Respondents'!$B$2:$B$121,MATCH(A396,'Respondents'!$A$2:$A$121,0))</x:f>
        <x:v>3</x:v>
      </x:c>
    </x:row>
    <x:row r="397">
      <x:c r="A397" s="14" t="n">
        <x:v>80</x:v>
      </x:c>
      <x:c r="B397" s="14" t="n">
        <x:v>1</x:v>
      </x:c>
      <x:c r="C397" s="14" t="n">
        <x:v>1</x:v>
      </x:c>
      <x:c r="D397" s="15" t="n">
        <x:f>IF(AND(C397=1,INDEX('Respondents'!$C$2:$C$121,MATCH(A397,'Respondents'!$A$2:$A$121,0))&gt;=INDEX('Strategies'!$C$2:$C$6,MATCH(B397,'Strategies'!$A$2:$A$6,0))),1,0)</x:f>
        <x:v>1</x:v>
      </x:c>
      <x:c r="E397" s="15" t="n">
        <x:f>INDEX('Respondents'!$B$2:$B$121,MATCH(A397,'Respondents'!$A$2:$A$121,0))</x:f>
        <x:v>3</x:v>
      </x:c>
    </x:row>
    <x:row r="398">
      <x:c r="A398" s="14" t="n">
        <x:v>80</x:v>
      </x:c>
      <x:c r="B398" s="14" t="n">
        <x:v>2</x:v>
      </x:c>
      <x:c r="C398" s="14" t="n">
        <x:v>0</x:v>
      </x:c>
      <x:c r="D398" s="15" t="n">
        <x:f>IF(AND(C398=1,INDEX('Respondents'!$C$2:$C$121,MATCH(A398,'Respondents'!$A$2:$A$121,0))&gt;=INDEX('Strategies'!$C$2:$C$6,MATCH(B398,'Strategies'!$A$2:$A$6,0))),1,0)</x:f>
        <x:v>0</x:v>
      </x:c>
      <x:c r="E398" s="15" t="n">
        <x:f>INDEX('Respondents'!$B$2:$B$121,MATCH(A398,'Respondents'!$A$2:$A$121,0))</x:f>
        <x:v>3</x:v>
      </x:c>
    </x:row>
    <x:row r="399">
      <x:c r="A399" s="14" t="n">
        <x:v>80</x:v>
      </x:c>
      <x:c r="B399" s="14" t="n">
        <x:v>3</x:v>
      </x:c>
      <x:c r="C399" s="14" t="n">
        <x:v>0</x:v>
      </x:c>
      <x:c r="D399" s="15" t="n">
        <x:f>IF(AND(C399=1,INDEX('Respondents'!$C$2:$C$121,MATCH(A399,'Respondents'!$A$2:$A$121,0))&gt;=INDEX('Strategies'!$C$2:$C$6,MATCH(B399,'Strategies'!$A$2:$A$6,0))),1,0)</x:f>
        <x:v>0</x:v>
      </x:c>
      <x:c r="E399" s="15" t="n">
        <x:f>INDEX('Respondents'!$B$2:$B$121,MATCH(A399,'Respondents'!$A$2:$A$121,0))</x:f>
        <x:v>3</x:v>
      </x:c>
    </x:row>
    <x:row r="400">
      <x:c r="A400" s="14" t="n">
        <x:v>80</x:v>
      </x:c>
      <x:c r="B400" s="14" t="n">
        <x:v>4</x:v>
      </x:c>
      <x:c r="C400" s="14" t="n">
        <x:v>0</x:v>
      </x:c>
      <x:c r="D400" s="15" t="n">
        <x:f>IF(AND(C400=1,INDEX('Respondents'!$C$2:$C$121,MATCH(A400,'Respondents'!$A$2:$A$121,0))&gt;=INDEX('Strategies'!$C$2:$C$6,MATCH(B400,'Strategies'!$A$2:$A$6,0))),1,0)</x:f>
        <x:v>0</x:v>
      </x:c>
      <x:c r="E400" s="15" t="n">
        <x:f>INDEX('Respondents'!$B$2:$B$121,MATCH(A400,'Respondents'!$A$2:$A$121,0))</x:f>
        <x:v>3</x:v>
      </x:c>
    </x:row>
    <x:row r="401">
      <x:c r="A401" s="14" t="n">
        <x:v>80</x:v>
      </x:c>
      <x:c r="B401" s="14" t="n">
        <x:v>5</x:v>
      </x:c>
      <x:c r="C401" s="14" t="n">
        <x:v>1</x:v>
      </x:c>
      <x:c r="D401" s="15" t="n">
        <x:f>IF(AND(C401=1,INDEX('Respondents'!$C$2:$C$121,MATCH(A401,'Respondents'!$A$2:$A$121,0))&gt;=INDEX('Strategies'!$C$2:$C$6,MATCH(B401,'Strategies'!$A$2:$A$6,0))),1,0)</x:f>
        <x:v>1</x:v>
      </x:c>
      <x:c r="E401" s="15" t="n">
        <x:f>INDEX('Respondents'!$B$2:$B$121,MATCH(A401,'Respondents'!$A$2:$A$121,0))</x:f>
        <x:v>3</x:v>
      </x:c>
    </x:row>
    <x:row r="402">
      <x:c r="A402" s="14" t="n">
        <x:v>81</x:v>
      </x:c>
      <x:c r="B402" s="14" t="n">
        <x:v>1</x:v>
      </x:c>
      <x:c r="C402" s="14" t="n">
        <x:v>1</x:v>
      </x:c>
      <x:c r="D402" s="15" t="n">
        <x:f>IF(AND(C402=1,INDEX('Respondents'!$C$2:$C$121,MATCH(A402,'Respondents'!$A$2:$A$121,0))&gt;=INDEX('Strategies'!$C$2:$C$6,MATCH(B402,'Strategies'!$A$2:$A$6,0))),1,0)</x:f>
        <x:v>1</x:v>
      </x:c>
      <x:c r="E402" s="15" t="n">
        <x:f>INDEX('Respondents'!$B$2:$B$121,MATCH(A402,'Respondents'!$A$2:$A$121,0))</x:f>
        <x:v>3</x:v>
      </x:c>
    </x:row>
    <x:row r="403">
      <x:c r="A403" s="14" t="n">
        <x:v>81</x:v>
      </x:c>
      <x:c r="B403" s="14" t="n">
        <x:v>2</x:v>
      </x:c>
      <x:c r="C403" s="14" t="n">
        <x:v>0</x:v>
      </x:c>
      <x:c r="D403" s="15" t="n">
        <x:f>IF(AND(C403=1,INDEX('Respondents'!$C$2:$C$121,MATCH(A403,'Respondents'!$A$2:$A$121,0))&gt;=INDEX('Strategies'!$C$2:$C$6,MATCH(B403,'Strategies'!$A$2:$A$6,0))),1,0)</x:f>
        <x:v>0</x:v>
      </x:c>
      <x:c r="E403" s="15" t="n">
        <x:f>INDEX('Respondents'!$B$2:$B$121,MATCH(A403,'Respondents'!$A$2:$A$121,0))</x:f>
        <x:v>3</x:v>
      </x:c>
    </x:row>
    <x:row r="404">
      <x:c r="A404" s="14" t="n">
        <x:v>81</x:v>
      </x:c>
      <x:c r="B404" s="14" t="n">
        <x:v>3</x:v>
      </x:c>
      <x:c r="C404" s="14" t="n">
        <x:v>1</x:v>
      </x:c>
      <x:c r="D404" s="15" t="n">
        <x:f>IF(AND(C404=1,INDEX('Respondents'!$C$2:$C$121,MATCH(A404,'Respondents'!$A$2:$A$121,0))&gt;=INDEX('Strategies'!$C$2:$C$6,MATCH(B404,'Strategies'!$A$2:$A$6,0))),1,0)</x:f>
        <x:v>1</x:v>
      </x:c>
      <x:c r="E404" s="15" t="n">
        <x:f>INDEX('Respondents'!$B$2:$B$121,MATCH(A404,'Respondents'!$A$2:$A$121,0))</x:f>
        <x:v>3</x:v>
      </x:c>
    </x:row>
    <x:row r="405">
      <x:c r="A405" s="14" t="n">
        <x:v>81</x:v>
      </x:c>
      <x:c r="B405" s="14" t="n">
        <x:v>4</x:v>
      </x:c>
      <x:c r="C405" s="14" t="n">
        <x:v>0</x:v>
      </x:c>
      <x:c r="D405" s="15" t="n">
        <x:f>IF(AND(C405=1,INDEX('Respondents'!$C$2:$C$121,MATCH(A405,'Respondents'!$A$2:$A$121,0))&gt;=INDEX('Strategies'!$C$2:$C$6,MATCH(B405,'Strategies'!$A$2:$A$6,0))),1,0)</x:f>
        <x:v>0</x:v>
      </x:c>
      <x:c r="E405" s="15" t="n">
        <x:f>INDEX('Respondents'!$B$2:$B$121,MATCH(A405,'Respondents'!$A$2:$A$121,0))</x:f>
        <x:v>3</x:v>
      </x:c>
    </x:row>
    <x:row r="406">
      <x:c r="A406" s="14" t="n">
        <x:v>81</x:v>
      </x:c>
      <x:c r="B406" s="14" t="n">
        <x:v>5</x:v>
      </x:c>
      <x:c r="C406" s="14" t="n">
        <x:v>0</x:v>
      </x:c>
      <x:c r="D406" s="15" t="n">
        <x:f>IF(AND(C406=1,INDEX('Respondents'!$C$2:$C$121,MATCH(A406,'Respondents'!$A$2:$A$121,0))&gt;=INDEX('Strategies'!$C$2:$C$6,MATCH(B406,'Strategies'!$A$2:$A$6,0))),1,0)</x:f>
        <x:v>0</x:v>
      </x:c>
      <x:c r="E406" s="15" t="n">
        <x:f>INDEX('Respondents'!$B$2:$B$121,MATCH(A406,'Respondents'!$A$2:$A$121,0))</x:f>
        <x:v>3</x:v>
      </x:c>
    </x:row>
    <x:row r="407">
      <x:c r="A407" s="14" t="n">
        <x:v>82</x:v>
      </x:c>
      <x:c r="B407" s="14" t="n">
        <x:v>1</x:v>
      </x:c>
      <x:c r="C407" s="14" t="n">
        <x:v>0</x:v>
      </x:c>
      <x:c r="D407" s="15" t="n">
        <x:f>IF(AND(C407=1,INDEX('Respondents'!$C$2:$C$121,MATCH(A407,'Respondents'!$A$2:$A$121,0))&gt;=INDEX('Strategies'!$C$2:$C$6,MATCH(B407,'Strategies'!$A$2:$A$6,0))),1,0)</x:f>
        <x:v>0</x:v>
      </x:c>
      <x:c r="E407" s="15" t="n">
        <x:f>INDEX('Respondents'!$B$2:$B$121,MATCH(A407,'Respondents'!$A$2:$A$121,0))</x:f>
        <x:v>3</x:v>
      </x:c>
    </x:row>
    <x:row r="408">
      <x:c r="A408" s="14" t="n">
        <x:v>82</x:v>
      </x:c>
      <x:c r="B408" s="14" t="n">
        <x:v>2</x:v>
      </x:c>
      <x:c r="C408" s="14" t="n">
        <x:v>0</x:v>
      </x:c>
      <x:c r="D408" s="15" t="n">
        <x:f>IF(AND(C408=1,INDEX('Respondents'!$C$2:$C$121,MATCH(A408,'Respondents'!$A$2:$A$121,0))&gt;=INDEX('Strategies'!$C$2:$C$6,MATCH(B408,'Strategies'!$A$2:$A$6,0))),1,0)</x:f>
        <x:v>0</x:v>
      </x:c>
      <x:c r="E408" s="15" t="n">
        <x:f>INDEX('Respondents'!$B$2:$B$121,MATCH(A408,'Respondents'!$A$2:$A$121,0))</x:f>
        <x:v>3</x:v>
      </x:c>
    </x:row>
    <x:row r="409">
      <x:c r="A409" s="14" t="n">
        <x:v>82</x:v>
      </x:c>
      <x:c r="B409" s="14" t="n">
        <x:v>3</x:v>
      </x:c>
      <x:c r="C409" s="14" t="n">
        <x:v>1</x:v>
      </x:c>
      <x:c r="D409" s="15" t="n">
        <x:f>IF(AND(C409=1,INDEX('Respondents'!$C$2:$C$121,MATCH(A409,'Respondents'!$A$2:$A$121,0))&gt;=INDEX('Strategies'!$C$2:$C$6,MATCH(B409,'Strategies'!$A$2:$A$6,0))),1,0)</x:f>
        <x:v>1</x:v>
      </x:c>
      <x:c r="E409" s="15" t="n">
        <x:f>INDEX('Respondents'!$B$2:$B$121,MATCH(A409,'Respondents'!$A$2:$A$121,0))</x:f>
        <x:v>3</x:v>
      </x:c>
    </x:row>
    <x:row r="410">
      <x:c r="A410" s="14" t="n">
        <x:v>82</x:v>
      </x:c>
      <x:c r="B410" s="14" t="n">
        <x:v>4</x:v>
      </x:c>
      <x:c r="C410" s="14" t="n">
        <x:v>1</x:v>
      </x:c>
      <x:c r="D410" s="15" t="n">
        <x:f>IF(AND(C410=1,INDEX('Respondents'!$C$2:$C$121,MATCH(A410,'Respondents'!$A$2:$A$121,0))&gt;=INDEX('Strategies'!$C$2:$C$6,MATCH(B410,'Strategies'!$A$2:$A$6,0))),1,0)</x:f>
        <x:v>1</x:v>
      </x:c>
      <x:c r="E410" s="15" t="n">
        <x:f>INDEX('Respondents'!$B$2:$B$121,MATCH(A410,'Respondents'!$A$2:$A$121,0))</x:f>
        <x:v>3</x:v>
      </x:c>
    </x:row>
    <x:row r="411">
      <x:c r="A411" s="14" t="n">
        <x:v>82</x:v>
      </x:c>
      <x:c r="B411" s="14" t="n">
        <x:v>5</x:v>
      </x:c>
      <x:c r="C411" s="14" t="n">
        <x:v>0</x:v>
      </x:c>
      <x:c r="D411" s="15" t="n">
        <x:f>IF(AND(C411=1,INDEX('Respondents'!$C$2:$C$121,MATCH(A411,'Respondents'!$A$2:$A$121,0))&gt;=INDEX('Strategies'!$C$2:$C$6,MATCH(B411,'Strategies'!$A$2:$A$6,0))),1,0)</x:f>
        <x:v>0</x:v>
      </x:c>
      <x:c r="E411" s="15" t="n">
        <x:f>INDEX('Respondents'!$B$2:$B$121,MATCH(A411,'Respondents'!$A$2:$A$121,0))</x:f>
        <x:v>3</x:v>
      </x:c>
    </x:row>
    <x:row r="412">
      <x:c r="A412" s="14" t="n">
        <x:v>83</x:v>
      </x:c>
      <x:c r="B412" s="14" t="n">
        <x:v>1</x:v>
      </x:c>
      <x:c r="C412" s="14" t="n">
        <x:v>1</x:v>
      </x:c>
      <x:c r="D412" s="15" t="n">
        <x:f>IF(AND(C412=1,INDEX('Respondents'!$C$2:$C$121,MATCH(A412,'Respondents'!$A$2:$A$121,0))&gt;=INDEX('Strategies'!$C$2:$C$6,MATCH(B412,'Strategies'!$A$2:$A$6,0))),1,0)</x:f>
        <x:v>0</x:v>
      </x:c>
      <x:c r="E412" s="15" t="n">
        <x:f>INDEX('Respondents'!$B$2:$B$121,MATCH(A412,'Respondents'!$A$2:$A$121,0))</x:f>
        <x:v>3</x:v>
      </x:c>
    </x:row>
    <x:row r="413">
      <x:c r="A413" s="14" t="n">
        <x:v>83</x:v>
      </x:c>
      <x:c r="B413" s="14" t="n">
        <x:v>2</x:v>
      </x:c>
      <x:c r="C413" s="14" t="n">
        <x:v>0</x:v>
      </x:c>
      <x:c r="D413" s="15" t="n">
        <x:f>IF(AND(C413=1,INDEX('Respondents'!$C$2:$C$121,MATCH(A413,'Respondents'!$A$2:$A$121,0))&gt;=INDEX('Strategies'!$C$2:$C$6,MATCH(B413,'Strategies'!$A$2:$A$6,0))),1,0)</x:f>
        <x:v>0</x:v>
      </x:c>
      <x:c r="E413" s="15" t="n">
        <x:f>INDEX('Respondents'!$B$2:$B$121,MATCH(A413,'Respondents'!$A$2:$A$121,0))</x:f>
        <x:v>3</x:v>
      </x:c>
    </x:row>
    <x:row r="414">
      <x:c r="A414" s="14" t="n">
        <x:v>83</x:v>
      </x:c>
      <x:c r="B414" s="14" t="n">
        <x:v>3</x:v>
      </x:c>
      <x:c r="C414" s="14" t="n">
        <x:v>1</x:v>
      </x:c>
      <x:c r="D414" s="15" t="n">
        <x:f>IF(AND(C414=1,INDEX('Respondents'!$C$2:$C$121,MATCH(A414,'Respondents'!$A$2:$A$121,0))&gt;=INDEX('Strategies'!$C$2:$C$6,MATCH(B414,'Strategies'!$A$2:$A$6,0))),1,0)</x:f>
        <x:v>1</x:v>
      </x:c>
      <x:c r="E414" s="15" t="n">
        <x:f>INDEX('Respondents'!$B$2:$B$121,MATCH(A414,'Respondents'!$A$2:$A$121,0))</x:f>
        <x:v>3</x:v>
      </x:c>
    </x:row>
    <x:row r="415">
      <x:c r="A415" s="14" t="n">
        <x:v>83</x:v>
      </x:c>
      <x:c r="B415" s="14" t="n">
        <x:v>4</x:v>
      </x:c>
      <x:c r="C415" s="14" t="n">
        <x:v>0</x:v>
      </x:c>
      <x:c r="D415" s="15" t="n">
        <x:f>IF(AND(C415=1,INDEX('Respondents'!$C$2:$C$121,MATCH(A415,'Respondents'!$A$2:$A$121,0))&gt;=INDEX('Strategies'!$C$2:$C$6,MATCH(B415,'Strategies'!$A$2:$A$6,0))),1,0)</x:f>
        <x:v>0</x:v>
      </x:c>
      <x:c r="E415" s="15" t="n">
        <x:f>INDEX('Respondents'!$B$2:$B$121,MATCH(A415,'Respondents'!$A$2:$A$121,0))</x:f>
        <x:v>3</x:v>
      </x:c>
    </x:row>
    <x:row r="416">
      <x:c r="A416" s="14" t="n">
        <x:v>83</x:v>
      </x:c>
      <x:c r="B416" s="14" t="n">
        <x:v>5</x:v>
      </x:c>
      <x:c r="C416" s="14" t="n">
        <x:v>0</x:v>
      </x:c>
      <x:c r="D416" s="15" t="n">
        <x:f>IF(AND(C416=1,INDEX('Respondents'!$C$2:$C$121,MATCH(A416,'Respondents'!$A$2:$A$121,0))&gt;=INDEX('Strategies'!$C$2:$C$6,MATCH(B416,'Strategies'!$A$2:$A$6,0))),1,0)</x:f>
        <x:v>0</x:v>
      </x:c>
      <x:c r="E416" s="15" t="n">
        <x:f>INDEX('Respondents'!$B$2:$B$121,MATCH(A416,'Respondents'!$A$2:$A$121,0))</x:f>
        <x:v>3</x:v>
      </x:c>
    </x:row>
    <x:row r="417">
      <x:c r="A417" s="14" t="n">
        <x:v>84</x:v>
      </x:c>
      <x:c r="B417" s="14" t="n">
        <x:v>1</x:v>
      </x:c>
      <x:c r="C417" s="14" t="n">
        <x:v>0</x:v>
      </x:c>
      <x:c r="D417" s="15" t="n">
        <x:f>IF(AND(C417=1,INDEX('Respondents'!$C$2:$C$121,MATCH(A417,'Respondents'!$A$2:$A$121,0))&gt;=INDEX('Strategies'!$C$2:$C$6,MATCH(B417,'Strategies'!$A$2:$A$6,0))),1,0)</x:f>
        <x:v>0</x:v>
      </x:c>
      <x:c r="E417" s="15" t="n">
        <x:f>INDEX('Respondents'!$B$2:$B$121,MATCH(A417,'Respondents'!$A$2:$A$121,0))</x:f>
        <x:v>3</x:v>
      </x:c>
    </x:row>
    <x:row r="418">
      <x:c r="A418" s="14" t="n">
        <x:v>84</x:v>
      </x:c>
      <x:c r="B418" s="14" t="n">
        <x:v>2</x:v>
      </x:c>
      <x:c r="C418" s="14" t="n">
        <x:v>0</x:v>
      </x:c>
      <x:c r="D418" s="15" t="n">
        <x:f>IF(AND(C418=1,INDEX('Respondents'!$C$2:$C$121,MATCH(A418,'Respondents'!$A$2:$A$121,0))&gt;=INDEX('Strategies'!$C$2:$C$6,MATCH(B418,'Strategies'!$A$2:$A$6,0))),1,0)</x:f>
        <x:v>0</x:v>
      </x:c>
      <x:c r="E418" s="15" t="n">
        <x:f>INDEX('Respondents'!$B$2:$B$121,MATCH(A418,'Respondents'!$A$2:$A$121,0))</x:f>
        <x:v>3</x:v>
      </x:c>
    </x:row>
    <x:row r="419">
      <x:c r="A419" s="14" t="n">
        <x:v>84</x:v>
      </x:c>
      <x:c r="B419" s="14" t="n">
        <x:v>3</x:v>
      </x:c>
      <x:c r="C419" s="14" t="n">
        <x:v>1</x:v>
      </x:c>
      <x:c r="D419" s="15" t="n">
        <x:f>IF(AND(C419=1,INDEX('Respondents'!$C$2:$C$121,MATCH(A419,'Respondents'!$A$2:$A$121,0))&gt;=INDEX('Strategies'!$C$2:$C$6,MATCH(B419,'Strategies'!$A$2:$A$6,0))),1,0)</x:f>
        <x:v>1</x:v>
      </x:c>
      <x:c r="E419" s="15" t="n">
        <x:f>INDEX('Respondents'!$B$2:$B$121,MATCH(A419,'Respondents'!$A$2:$A$121,0))</x:f>
        <x:v>3</x:v>
      </x:c>
    </x:row>
    <x:row r="420">
      <x:c r="A420" s="14" t="n">
        <x:v>84</x:v>
      </x:c>
      <x:c r="B420" s="14" t="n">
        <x:v>4</x:v>
      </x:c>
      <x:c r="C420" s="14" t="n">
        <x:v>0</x:v>
      </x:c>
      <x:c r="D420" s="15" t="n">
        <x:f>IF(AND(C420=1,INDEX('Respondents'!$C$2:$C$121,MATCH(A420,'Respondents'!$A$2:$A$121,0))&gt;=INDEX('Strategies'!$C$2:$C$6,MATCH(B420,'Strategies'!$A$2:$A$6,0))),1,0)</x:f>
        <x:v>0</x:v>
      </x:c>
      <x:c r="E420" s="15" t="n">
        <x:f>INDEX('Respondents'!$B$2:$B$121,MATCH(A420,'Respondents'!$A$2:$A$121,0))</x:f>
        <x:v>3</x:v>
      </x:c>
    </x:row>
    <x:row r="421">
      <x:c r="A421" s="14" t="n">
        <x:v>84</x:v>
      </x:c>
      <x:c r="B421" s="14" t="n">
        <x:v>5</x:v>
      </x:c>
      <x:c r="C421" s="14" t="n">
        <x:v>1</x:v>
      </x:c>
      <x:c r="D421" s="15" t="n">
        <x:f>IF(AND(C421=1,INDEX('Respondents'!$C$2:$C$121,MATCH(A421,'Respondents'!$A$2:$A$121,0))&gt;=INDEX('Strategies'!$C$2:$C$6,MATCH(B421,'Strategies'!$A$2:$A$6,0))),1,0)</x:f>
        <x:v>1</x:v>
      </x:c>
      <x:c r="E421" s="15" t="n">
        <x:f>INDEX('Respondents'!$B$2:$B$121,MATCH(A421,'Respondents'!$A$2:$A$121,0))</x:f>
        <x:v>3</x:v>
      </x:c>
    </x:row>
    <x:row r="422">
      <x:c r="A422" s="14" t="n">
        <x:v>85</x:v>
      </x:c>
      <x:c r="B422" s="14" t="n">
        <x:v>1</x:v>
      </x:c>
      <x:c r="C422" s="14" t="n">
        <x:v>1</x:v>
      </x:c>
      <x:c r="D422" s="15" t="n">
        <x:f>IF(AND(C422=1,INDEX('Respondents'!$C$2:$C$121,MATCH(A422,'Respondents'!$A$2:$A$121,0))&gt;=INDEX('Strategies'!$C$2:$C$6,MATCH(B422,'Strategies'!$A$2:$A$6,0))),1,0)</x:f>
        <x:v>1</x:v>
      </x:c>
      <x:c r="E422" s="15" t="n">
        <x:f>INDEX('Respondents'!$B$2:$B$121,MATCH(A422,'Respondents'!$A$2:$A$121,0))</x:f>
        <x:v>3</x:v>
      </x:c>
    </x:row>
    <x:row r="423">
      <x:c r="A423" s="14" t="n">
        <x:v>85</x:v>
      </x:c>
      <x:c r="B423" s="14" t="n">
        <x:v>2</x:v>
      </x:c>
      <x:c r="C423" s="14" t="n">
        <x:v>1</x:v>
      </x:c>
      <x:c r="D423" s="15" t="n">
        <x:f>IF(AND(C423=1,INDEX('Respondents'!$C$2:$C$121,MATCH(A423,'Respondents'!$A$2:$A$121,0))&gt;=INDEX('Strategies'!$C$2:$C$6,MATCH(B423,'Strategies'!$A$2:$A$6,0))),1,0)</x:f>
        <x:v>1</x:v>
      </x:c>
      <x:c r="E423" s="15" t="n">
        <x:f>INDEX('Respondents'!$B$2:$B$121,MATCH(A423,'Respondents'!$A$2:$A$121,0))</x:f>
        <x:v>3</x:v>
      </x:c>
    </x:row>
    <x:row r="424">
      <x:c r="A424" s="14" t="n">
        <x:v>85</x:v>
      </x:c>
      <x:c r="B424" s="14" t="n">
        <x:v>3</x:v>
      </x:c>
      <x:c r="C424" s="14" t="n">
        <x:v>1</x:v>
      </x:c>
      <x:c r="D424" s="15" t="n">
        <x:f>IF(AND(C424=1,INDEX('Respondents'!$C$2:$C$121,MATCH(A424,'Respondents'!$A$2:$A$121,0))&gt;=INDEX('Strategies'!$C$2:$C$6,MATCH(B424,'Strategies'!$A$2:$A$6,0))),1,0)</x:f>
        <x:v>1</x:v>
      </x:c>
      <x:c r="E424" s="15" t="n">
        <x:f>INDEX('Respondents'!$B$2:$B$121,MATCH(A424,'Respondents'!$A$2:$A$121,0))</x:f>
        <x:v>3</x:v>
      </x:c>
    </x:row>
    <x:row r="425">
      <x:c r="A425" s="14" t="n">
        <x:v>85</x:v>
      </x:c>
      <x:c r="B425" s="14" t="n">
        <x:v>4</x:v>
      </x:c>
      <x:c r="C425" s="14" t="n">
        <x:v>0</x:v>
      </x:c>
      <x:c r="D425" s="15" t="n">
        <x:f>IF(AND(C425=1,INDEX('Respondents'!$C$2:$C$121,MATCH(A425,'Respondents'!$A$2:$A$121,0))&gt;=INDEX('Strategies'!$C$2:$C$6,MATCH(B425,'Strategies'!$A$2:$A$6,0))),1,0)</x:f>
        <x:v>0</x:v>
      </x:c>
      <x:c r="E425" s="15" t="n">
        <x:f>INDEX('Respondents'!$B$2:$B$121,MATCH(A425,'Respondents'!$A$2:$A$121,0))</x:f>
        <x:v>3</x:v>
      </x:c>
    </x:row>
    <x:row r="426">
      <x:c r="A426" s="14" t="n">
        <x:v>85</x:v>
      </x:c>
      <x:c r="B426" s="14" t="n">
        <x:v>5</x:v>
      </x:c>
      <x:c r="C426" s="14" t="n">
        <x:v>1</x:v>
      </x:c>
      <x:c r="D426" s="15" t="n">
        <x:f>IF(AND(C426=1,INDEX('Respondents'!$C$2:$C$121,MATCH(A426,'Respondents'!$A$2:$A$121,0))&gt;=INDEX('Strategies'!$C$2:$C$6,MATCH(B426,'Strategies'!$A$2:$A$6,0))),1,0)</x:f>
        <x:v>1</x:v>
      </x:c>
      <x:c r="E426" s="15" t="n">
        <x:f>INDEX('Respondents'!$B$2:$B$121,MATCH(A426,'Respondents'!$A$2:$A$121,0))</x:f>
        <x:v>3</x:v>
      </x:c>
    </x:row>
    <x:row r="427">
      <x:c r="A427" s="14" t="n">
        <x:v>86</x:v>
      </x:c>
      <x:c r="B427" s="14" t="n">
        <x:v>1</x:v>
      </x:c>
      <x:c r="C427" s="14" t="n">
        <x:v>1</x:v>
      </x:c>
      <x:c r="D427" s="15" t="n">
        <x:f>IF(AND(C427=1,INDEX('Respondents'!$C$2:$C$121,MATCH(A427,'Respondents'!$A$2:$A$121,0))&gt;=INDEX('Strategies'!$C$2:$C$6,MATCH(B427,'Strategies'!$A$2:$A$6,0))),1,0)</x:f>
        <x:v>1</x:v>
      </x:c>
      <x:c r="E427" s="15" t="n">
        <x:f>INDEX('Respondents'!$B$2:$B$121,MATCH(A427,'Respondents'!$A$2:$A$121,0))</x:f>
        <x:v>3</x:v>
      </x:c>
    </x:row>
    <x:row r="428">
      <x:c r="A428" s="14" t="n">
        <x:v>86</x:v>
      </x:c>
      <x:c r="B428" s="14" t="n">
        <x:v>2</x:v>
      </x:c>
      <x:c r="C428" s="14" t="n">
        <x:v>0</x:v>
      </x:c>
      <x:c r="D428" s="15" t="n">
        <x:f>IF(AND(C428=1,INDEX('Respondents'!$C$2:$C$121,MATCH(A428,'Respondents'!$A$2:$A$121,0))&gt;=INDEX('Strategies'!$C$2:$C$6,MATCH(B428,'Strategies'!$A$2:$A$6,0))),1,0)</x:f>
        <x:v>0</x:v>
      </x:c>
      <x:c r="E428" s="15" t="n">
        <x:f>INDEX('Respondents'!$B$2:$B$121,MATCH(A428,'Respondents'!$A$2:$A$121,0))</x:f>
        <x:v>3</x:v>
      </x:c>
    </x:row>
    <x:row r="429">
      <x:c r="A429" s="14" t="n">
        <x:v>86</x:v>
      </x:c>
      <x:c r="B429" s="14" t="n">
        <x:v>3</x:v>
      </x:c>
      <x:c r="C429" s="14" t="n">
        <x:v>0</x:v>
      </x:c>
      <x:c r="D429" s="15" t="n">
        <x:f>IF(AND(C429=1,INDEX('Respondents'!$C$2:$C$121,MATCH(A429,'Respondents'!$A$2:$A$121,0))&gt;=INDEX('Strategies'!$C$2:$C$6,MATCH(B429,'Strategies'!$A$2:$A$6,0))),1,0)</x:f>
        <x:v>0</x:v>
      </x:c>
      <x:c r="E429" s="15" t="n">
        <x:f>INDEX('Respondents'!$B$2:$B$121,MATCH(A429,'Respondents'!$A$2:$A$121,0))</x:f>
        <x:v>3</x:v>
      </x:c>
    </x:row>
    <x:row r="430">
      <x:c r="A430" s="14" t="n">
        <x:v>86</x:v>
      </x:c>
      <x:c r="B430" s="14" t="n">
        <x:v>4</x:v>
      </x:c>
      <x:c r="C430" s="14" t="n">
        <x:v>0</x:v>
      </x:c>
      <x:c r="D430" s="15" t="n">
        <x:f>IF(AND(C430=1,INDEX('Respondents'!$C$2:$C$121,MATCH(A430,'Respondents'!$A$2:$A$121,0))&gt;=INDEX('Strategies'!$C$2:$C$6,MATCH(B430,'Strategies'!$A$2:$A$6,0))),1,0)</x:f>
        <x:v>0</x:v>
      </x:c>
      <x:c r="E430" s="15" t="n">
        <x:f>INDEX('Respondents'!$B$2:$B$121,MATCH(A430,'Respondents'!$A$2:$A$121,0))</x:f>
        <x:v>3</x:v>
      </x:c>
    </x:row>
    <x:row r="431">
      <x:c r="A431" s="14" t="n">
        <x:v>86</x:v>
      </x:c>
      <x:c r="B431" s="14" t="n">
        <x:v>5</x:v>
      </x:c>
      <x:c r="C431" s="14" t="n">
        <x:v>1</x:v>
      </x:c>
      <x:c r="D431" s="15" t="n">
        <x:f>IF(AND(C431=1,INDEX('Respondents'!$C$2:$C$121,MATCH(A431,'Respondents'!$A$2:$A$121,0))&gt;=INDEX('Strategies'!$C$2:$C$6,MATCH(B431,'Strategies'!$A$2:$A$6,0))),1,0)</x:f>
        <x:v>1</x:v>
      </x:c>
      <x:c r="E431" s="15" t="n">
        <x:f>INDEX('Respondents'!$B$2:$B$121,MATCH(A431,'Respondents'!$A$2:$A$121,0))</x:f>
        <x:v>3</x:v>
      </x:c>
    </x:row>
    <x:row r="432">
      <x:c r="A432" s="14" t="n">
        <x:v>87</x:v>
      </x:c>
      <x:c r="B432" s="14" t="n">
        <x:v>1</x:v>
      </x:c>
      <x:c r="C432" s="14" t="n">
        <x:v>0</x:v>
      </x:c>
      <x:c r="D432" s="15" t="n">
        <x:f>IF(AND(C432=1,INDEX('Respondents'!$C$2:$C$121,MATCH(A432,'Respondents'!$A$2:$A$121,0))&gt;=INDEX('Strategies'!$C$2:$C$6,MATCH(B432,'Strategies'!$A$2:$A$6,0))),1,0)</x:f>
        <x:v>0</x:v>
      </x:c>
      <x:c r="E432" s="15" t="n">
        <x:f>INDEX('Respondents'!$B$2:$B$121,MATCH(A432,'Respondents'!$A$2:$A$121,0))</x:f>
        <x:v>3</x:v>
      </x:c>
    </x:row>
    <x:row r="433">
      <x:c r="A433" s="14" t="n">
        <x:v>87</x:v>
      </x:c>
      <x:c r="B433" s="14" t="n">
        <x:v>2</x:v>
      </x:c>
      <x:c r="C433" s="14" t="n">
        <x:v>1</x:v>
      </x:c>
      <x:c r="D433" s="15" t="n">
        <x:f>IF(AND(C433=1,INDEX('Respondents'!$C$2:$C$121,MATCH(A433,'Respondents'!$A$2:$A$121,0))&gt;=INDEX('Strategies'!$C$2:$C$6,MATCH(B433,'Strategies'!$A$2:$A$6,0))),1,0)</x:f>
        <x:v>1</x:v>
      </x:c>
      <x:c r="E433" s="15" t="n">
        <x:f>INDEX('Respondents'!$B$2:$B$121,MATCH(A433,'Respondents'!$A$2:$A$121,0))</x:f>
        <x:v>3</x:v>
      </x:c>
    </x:row>
    <x:row r="434">
      <x:c r="A434" s="14" t="n">
        <x:v>87</x:v>
      </x:c>
      <x:c r="B434" s="14" t="n">
        <x:v>3</x:v>
      </x:c>
      <x:c r="C434" s="14" t="n">
        <x:v>1</x:v>
      </x:c>
      <x:c r="D434" s="15" t="n">
        <x:f>IF(AND(C434=1,INDEX('Respondents'!$C$2:$C$121,MATCH(A434,'Respondents'!$A$2:$A$121,0))&gt;=INDEX('Strategies'!$C$2:$C$6,MATCH(B434,'Strategies'!$A$2:$A$6,0))),1,0)</x:f>
        <x:v>1</x:v>
      </x:c>
      <x:c r="E434" s="15" t="n">
        <x:f>INDEX('Respondents'!$B$2:$B$121,MATCH(A434,'Respondents'!$A$2:$A$121,0))</x:f>
        <x:v>3</x:v>
      </x:c>
    </x:row>
    <x:row r="435">
      <x:c r="A435" s="14" t="n">
        <x:v>87</x:v>
      </x:c>
      <x:c r="B435" s="14" t="n">
        <x:v>4</x:v>
      </x:c>
      <x:c r="C435" s="14" t="n">
        <x:v>0</x:v>
      </x:c>
      <x:c r="D435" s="15" t="n">
        <x:f>IF(AND(C435=1,INDEX('Respondents'!$C$2:$C$121,MATCH(A435,'Respondents'!$A$2:$A$121,0))&gt;=INDEX('Strategies'!$C$2:$C$6,MATCH(B435,'Strategies'!$A$2:$A$6,0))),1,0)</x:f>
        <x:v>0</x:v>
      </x:c>
      <x:c r="E435" s="15" t="n">
        <x:f>INDEX('Respondents'!$B$2:$B$121,MATCH(A435,'Respondents'!$A$2:$A$121,0))</x:f>
        <x:v>3</x:v>
      </x:c>
    </x:row>
    <x:row r="436">
      <x:c r="A436" s="14" t="n">
        <x:v>87</x:v>
      </x:c>
      <x:c r="B436" s="14" t="n">
        <x:v>5</x:v>
      </x:c>
      <x:c r="C436" s="14" t="n">
        <x:v>1</x:v>
      </x:c>
      <x:c r="D436" s="15" t="n">
        <x:f>IF(AND(C436=1,INDEX('Respondents'!$C$2:$C$121,MATCH(A436,'Respondents'!$A$2:$A$121,0))&gt;=INDEX('Strategies'!$C$2:$C$6,MATCH(B436,'Strategies'!$A$2:$A$6,0))),1,0)</x:f>
        <x:v>1</x:v>
      </x:c>
      <x:c r="E436" s="15" t="n">
        <x:f>INDEX('Respondents'!$B$2:$B$121,MATCH(A436,'Respondents'!$A$2:$A$121,0))</x:f>
        <x:v>3</x:v>
      </x:c>
    </x:row>
    <x:row r="437">
      <x:c r="A437" s="14" t="n">
        <x:v>88</x:v>
      </x:c>
      <x:c r="B437" s="14" t="n">
        <x:v>1</x:v>
      </x:c>
      <x:c r="C437" s="14" t="n">
        <x:v>0</x:v>
      </x:c>
      <x:c r="D437" s="15" t="n">
        <x:f>IF(AND(C437=1,INDEX('Respondents'!$C$2:$C$121,MATCH(A437,'Respondents'!$A$2:$A$121,0))&gt;=INDEX('Strategies'!$C$2:$C$6,MATCH(B437,'Strategies'!$A$2:$A$6,0))),1,0)</x:f>
        <x:v>0</x:v>
      </x:c>
      <x:c r="E437" s="15" t="n">
        <x:f>INDEX('Respondents'!$B$2:$B$121,MATCH(A437,'Respondents'!$A$2:$A$121,0))</x:f>
        <x:v>3</x:v>
      </x:c>
    </x:row>
    <x:row r="438">
      <x:c r="A438" s="14" t="n">
        <x:v>88</x:v>
      </x:c>
      <x:c r="B438" s="14" t="n">
        <x:v>2</x:v>
      </x:c>
      <x:c r="C438" s="14" t="n">
        <x:v>0</x:v>
      </x:c>
      <x:c r="D438" s="15" t="n">
        <x:f>IF(AND(C438=1,INDEX('Respondents'!$C$2:$C$121,MATCH(A438,'Respondents'!$A$2:$A$121,0))&gt;=INDEX('Strategies'!$C$2:$C$6,MATCH(B438,'Strategies'!$A$2:$A$6,0))),1,0)</x:f>
        <x:v>0</x:v>
      </x:c>
      <x:c r="E438" s="15" t="n">
        <x:f>INDEX('Respondents'!$B$2:$B$121,MATCH(A438,'Respondents'!$A$2:$A$121,0))</x:f>
        <x:v>3</x:v>
      </x:c>
    </x:row>
    <x:row r="439">
      <x:c r="A439" s="14" t="n">
        <x:v>88</x:v>
      </x:c>
      <x:c r="B439" s="14" t="n">
        <x:v>3</x:v>
      </x:c>
      <x:c r="C439" s="14" t="n">
        <x:v>0</x:v>
      </x:c>
      <x:c r="D439" s="15" t="n">
        <x:f>IF(AND(C439=1,INDEX('Respondents'!$C$2:$C$121,MATCH(A439,'Respondents'!$A$2:$A$121,0))&gt;=INDEX('Strategies'!$C$2:$C$6,MATCH(B439,'Strategies'!$A$2:$A$6,0))),1,0)</x:f>
        <x:v>0</x:v>
      </x:c>
      <x:c r="E439" s="15" t="n">
        <x:f>INDEX('Respondents'!$B$2:$B$121,MATCH(A439,'Respondents'!$A$2:$A$121,0))</x:f>
        <x:v>3</x:v>
      </x:c>
    </x:row>
    <x:row r="440">
      <x:c r="A440" s="14" t="n">
        <x:v>88</x:v>
      </x:c>
      <x:c r="B440" s="14" t="n">
        <x:v>4</x:v>
      </x:c>
      <x:c r="C440" s="14" t="n">
        <x:v>0</x:v>
      </x:c>
      <x:c r="D440" s="15" t="n">
        <x:f>IF(AND(C440=1,INDEX('Respondents'!$C$2:$C$121,MATCH(A440,'Respondents'!$A$2:$A$121,0))&gt;=INDEX('Strategies'!$C$2:$C$6,MATCH(B440,'Strategies'!$A$2:$A$6,0))),1,0)</x:f>
        <x:v>0</x:v>
      </x:c>
      <x:c r="E440" s="15" t="n">
        <x:f>INDEX('Respondents'!$B$2:$B$121,MATCH(A440,'Respondents'!$A$2:$A$121,0))</x:f>
        <x:v>3</x:v>
      </x:c>
    </x:row>
    <x:row r="441">
      <x:c r="A441" s="14" t="n">
        <x:v>88</x:v>
      </x:c>
      <x:c r="B441" s="14" t="n">
        <x:v>5</x:v>
      </x:c>
      <x:c r="C441" s="14" t="n">
        <x:v>1</x:v>
      </x:c>
      <x:c r="D441" s="15" t="n">
        <x:f>IF(AND(C441=1,INDEX('Respondents'!$C$2:$C$121,MATCH(A441,'Respondents'!$A$2:$A$121,0))&gt;=INDEX('Strategies'!$C$2:$C$6,MATCH(B441,'Strategies'!$A$2:$A$6,0))),1,0)</x:f>
        <x:v>0</x:v>
      </x:c>
      <x:c r="E441" s="15" t="n">
        <x:f>INDEX('Respondents'!$B$2:$B$121,MATCH(A441,'Respondents'!$A$2:$A$121,0))</x:f>
        <x:v>3</x:v>
      </x:c>
    </x:row>
    <x:row r="442">
      <x:c r="A442" s="14" t="n">
        <x:v>89</x:v>
      </x:c>
      <x:c r="B442" s="14" t="n">
        <x:v>1</x:v>
      </x:c>
      <x:c r="C442" s="14" t="n">
        <x:v>1</x:v>
      </x:c>
      <x:c r="D442" s="15" t="n">
        <x:f>IF(AND(C442=1,INDEX('Respondents'!$C$2:$C$121,MATCH(A442,'Respondents'!$A$2:$A$121,0))&gt;=INDEX('Strategies'!$C$2:$C$6,MATCH(B442,'Strategies'!$A$2:$A$6,0))),1,0)</x:f>
        <x:v>1</x:v>
      </x:c>
      <x:c r="E442" s="15" t="n">
        <x:f>INDEX('Respondents'!$B$2:$B$121,MATCH(A442,'Respondents'!$A$2:$A$121,0))</x:f>
        <x:v>3</x:v>
      </x:c>
    </x:row>
    <x:row r="443">
      <x:c r="A443" s="14" t="n">
        <x:v>89</x:v>
      </x:c>
      <x:c r="B443" s="14" t="n">
        <x:v>2</x:v>
      </x:c>
      <x:c r="C443" s="14" t="n">
        <x:v>0</x:v>
      </x:c>
      <x:c r="D443" s="15" t="n">
        <x:f>IF(AND(C443=1,INDEX('Respondents'!$C$2:$C$121,MATCH(A443,'Respondents'!$A$2:$A$121,0))&gt;=INDEX('Strategies'!$C$2:$C$6,MATCH(B443,'Strategies'!$A$2:$A$6,0))),1,0)</x:f>
        <x:v>0</x:v>
      </x:c>
      <x:c r="E443" s="15" t="n">
        <x:f>INDEX('Respondents'!$B$2:$B$121,MATCH(A443,'Respondents'!$A$2:$A$121,0))</x:f>
        <x:v>3</x:v>
      </x:c>
    </x:row>
    <x:row r="444">
      <x:c r="A444" s="14" t="n">
        <x:v>89</x:v>
      </x:c>
      <x:c r="B444" s="14" t="n">
        <x:v>3</x:v>
      </x:c>
      <x:c r="C444" s="14" t="n">
        <x:v>0</x:v>
      </x:c>
      <x:c r="D444" s="15" t="n">
        <x:f>IF(AND(C444=1,INDEX('Respondents'!$C$2:$C$121,MATCH(A444,'Respondents'!$A$2:$A$121,0))&gt;=INDEX('Strategies'!$C$2:$C$6,MATCH(B444,'Strategies'!$A$2:$A$6,0))),1,0)</x:f>
        <x:v>0</x:v>
      </x:c>
      <x:c r="E444" s="15" t="n">
        <x:f>INDEX('Respondents'!$B$2:$B$121,MATCH(A444,'Respondents'!$A$2:$A$121,0))</x:f>
        <x:v>3</x:v>
      </x:c>
    </x:row>
    <x:row r="445">
      <x:c r="A445" s="14" t="n">
        <x:v>89</x:v>
      </x:c>
      <x:c r="B445" s="14" t="n">
        <x:v>4</x:v>
      </x:c>
      <x:c r="C445" s="14" t="n">
        <x:v>0</x:v>
      </x:c>
      <x:c r="D445" s="15" t="n">
        <x:f>IF(AND(C445=1,INDEX('Respondents'!$C$2:$C$121,MATCH(A445,'Respondents'!$A$2:$A$121,0))&gt;=INDEX('Strategies'!$C$2:$C$6,MATCH(B445,'Strategies'!$A$2:$A$6,0))),1,0)</x:f>
        <x:v>0</x:v>
      </x:c>
      <x:c r="E445" s="15" t="n">
        <x:f>INDEX('Respondents'!$B$2:$B$121,MATCH(A445,'Respondents'!$A$2:$A$121,0))</x:f>
        <x:v>3</x:v>
      </x:c>
    </x:row>
    <x:row r="446">
      <x:c r="A446" s="14" t="n">
        <x:v>89</x:v>
      </x:c>
      <x:c r="B446" s="14" t="n">
        <x:v>5</x:v>
      </x:c>
      <x:c r="C446" s="14" t="n">
        <x:v>1</x:v>
      </x:c>
      <x:c r="D446" s="15" t="n">
        <x:f>IF(AND(C446=1,INDEX('Respondents'!$C$2:$C$121,MATCH(A446,'Respondents'!$A$2:$A$121,0))&gt;=INDEX('Strategies'!$C$2:$C$6,MATCH(B446,'Strategies'!$A$2:$A$6,0))),1,0)</x:f>
        <x:v>1</x:v>
      </x:c>
      <x:c r="E446" s="15" t="n">
        <x:f>INDEX('Respondents'!$B$2:$B$121,MATCH(A446,'Respondents'!$A$2:$A$121,0))</x:f>
        <x:v>3</x:v>
      </x:c>
    </x:row>
    <x:row r="447">
      <x:c r="A447" s="14" t="n">
        <x:v>90</x:v>
      </x:c>
      <x:c r="B447" s="14" t="n">
        <x:v>1</x:v>
      </x:c>
      <x:c r="C447" s="14" t="n">
        <x:v>0</x:v>
      </x:c>
      <x:c r="D447" s="15" t="n">
        <x:f>IF(AND(C447=1,INDEX('Respondents'!$C$2:$C$121,MATCH(A447,'Respondents'!$A$2:$A$121,0))&gt;=INDEX('Strategies'!$C$2:$C$6,MATCH(B447,'Strategies'!$A$2:$A$6,0))),1,0)</x:f>
        <x:v>0</x:v>
      </x:c>
      <x:c r="E447" s="15" t="n">
        <x:f>INDEX('Respondents'!$B$2:$B$121,MATCH(A447,'Respondents'!$A$2:$A$121,0))</x:f>
        <x:v>3</x:v>
      </x:c>
    </x:row>
    <x:row r="448">
      <x:c r="A448" s="14" t="n">
        <x:v>90</x:v>
      </x:c>
      <x:c r="B448" s="14" t="n">
        <x:v>2</x:v>
      </x:c>
      <x:c r="C448" s="14" t="n">
        <x:v>0</x:v>
      </x:c>
      <x:c r="D448" s="15" t="n">
        <x:f>IF(AND(C448=1,INDEX('Respondents'!$C$2:$C$121,MATCH(A448,'Respondents'!$A$2:$A$121,0))&gt;=INDEX('Strategies'!$C$2:$C$6,MATCH(B448,'Strategies'!$A$2:$A$6,0))),1,0)</x:f>
        <x:v>0</x:v>
      </x:c>
      <x:c r="E448" s="15" t="n">
        <x:f>INDEX('Respondents'!$B$2:$B$121,MATCH(A448,'Respondents'!$A$2:$A$121,0))</x:f>
        <x:v>3</x:v>
      </x:c>
    </x:row>
    <x:row r="449">
      <x:c r="A449" s="14" t="n">
        <x:v>90</x:v>
      </x:c>
      <x:c r="B449" s="14" t="n">
        <x:v>3</x:v>
      </x:c>
      <x:c r="C449" s="14" t="n">
        <x:v>1</x:v>
      </x:c>
      <x:c r="D449" s="15" t="n">
        <x:f>IF(AND(C449=1,INDEX('Respondents'!$C$2:$C$121,MATCH(A449,'Respondents'!$A$2:$A$121,0))&gt;=INDEX('Strategies'!$C$2:$C$6,MATCH(B449,'Strategies'!$A$2:$A$6,0))),1,0)</x:f>
        <x:v>1</x:v>
      </x:c>
      <x:c r="E449" s="15" t="n">
        <x:f>INDEX('Respondents'!$B$2:$B$121,MATCH(A449,'Respondents'!$A$2:$A$121,0))</x:f>
        <x:v>3</x:v>
      </x:c>
    </x:row>
    <x:row r="450">
      <x:c r="A450" s="14" t="n">
        <x:v>90</x:v>
      </x:c>
      <x:c r="B450" s="14" t="n">
        <x:v>4</x:v>
      </x:c>
      <x:c r="C450" s="14" t="n">
        <x:v>0</x:v>
      </x:c>
      <x:c r="D450" s="15" t="n">
        <x:f>IF(AND(C450=1,INDEX('Respondents'!$C$2:$C$121,MATCH(A450,'Respondents'!$A$2:$A$121,0))&gt;=INDEX('Strategies'!$C$2:$C$6,MATCH(B450,'Strategies'!$A$2:$A$6,0))),1,0)</x:f>
        <x:v>0</x:v>
      </x:c>
      <x:c r="E450" s="15" t="n">
        <x:f>INDEX('Respondents'!$B$2:$B$121,MATCH(A450,'Respondents'!$A$2:$A$121,0))</x:f>
        <x:v>3</x:v>
      </x:c>
    </x:row>
    <x:row r="451">
      <x:c r="A451" s="14" t="n">
        <x:v>90</x:v>
      </x:c>
      <x:c r="B451" s="14" t="n">
        <x:v>5</x:v>
      </x:c>
      <x:c r="C451" s="14" t="n">
        <x:v>0</x:v>
      </x:c>
      <x:c r="D451" s="15" t="n">
        <x:f>IF(AND(C451=1,INDEX('Respondents'!$C$2:$C$121,MATCH(A451,'Respondents'!$A$2:$A$121,0))&gt;=INDEX('Strategies'!$C$2:$C$6,MATCH(B451,'Strategies'!$A$2:$A$6,0))),1,0)</x:f>
        <x:v>0</x:v>
      </x:c>
      <x:c r="E451" s="15" t="n">
        <x:f>INDEX('Respondents'!$B$2:$B$121,MATCH(A451,'Respondents'!$A$2:$A$121,0))</x:f>
        <x:v>3</x:v>
      </x:c>
    </x:row>
    <x:row r="452">
      <x:c r="A452" s="14" t="n">
        <x:v>91</x:v>
      </x:c>
      <x:c r="B452" s="14" t="n">
        <x:v>1</x:v>
      </x:c>
      <x:c r="C452" s="14" t="n">
        <x:v>1</x:v>
      </x:c>
      <x:c r="D452" s="15" t="n">
        <x:f>IF(AND(C452=1,INDEX('Respondents'!$C$2:$C$121,MATCH(A452,'Respondents'!$A$2:$A$121,0))&gt;=INDEX('Strategies'!$C$2:$C$6,MATCH(B452,'Strategies'!$A$2:$A$6,0))),1,0)</x:f>
        <x:v>0</x:v>
      </x:c>
      <x:c r="E452" s="15" t="n">
        <x:f>INDEX('Respondents'!$B$2:$B$121,MATCH(A452,'Respondents'!$A$2:$A$121,0))</x:f>
        <x:v>4</x:v>
      </x:c>
    </x:row>
    <x:row r="453">
      <x:c r="A453" s="14" t="n">
        <x:v>91</x:v>
      </x:c>
      <x:c r="B453" s="14" t="n">
        <x:v>2</x:v>
      </x:c>
      <x:c r="C453" s="14" t="n">
        <x:v>1</x:v>
      </x:c>
      <x:c r="D453" s="15" t="n">
        <x:f>IF(AND(C453=1,INDEX('Respondents'!$C$2:$C$121,MATCH(A453,'Respondents'!$A$2:$A$121,0))&gt;=INDEX('Strategies'!$C$2:$C$6,MATCH(B453,'Strategies'!$A$2:$A$6,0))),1,0)</x:f>
        <x:v>0</x:v>
      </x:c>
      <x:c r="E453" s="15" t="n">
        <x:f>INDEX('Respondents'!$B$2:$B$121,MATCH(A453,'Respondents'!$A$2:$A$121,0))</x:f>
        <x:v>4</x:v>
      </x:c>
    </x:row>
    <x:row r="454">
      <x:c r="A454" s="14" t="n">
        <x:v>91</x:v>
      </x:c>
      <x:c r="B454" s="14" t="n">
        <x:v>3</x:v>
      </x:c>
      <x:c r="C454" s="14" t="n">
        <x:v>0</x:v>
      </x:c>
      <x:c r="D454" s="15" t="n">
        <x:f>IF(AND(C454=1,INDEX('Respondents'!$C$2:$C$121,MATCH(A454,'Respondents'!$A$2:$A$121,0))&gt;=INDEX('Strategies'!$C$2:$C$6,MATCH(B454,'Strategies'!$A$2:$A$6,0))),1,0)</x:f>
        <x:v>0</x:v>
      </x:c>
      <x:c r="E454" s="15" t="n">
        <x:f>INDEX('Respondents'!$B$2:$B$121,MATCH(A454,'Respondents'!$A$2:$A$121,0))</x:f>
        <x:v>4</x:v>
      </x:c>
    </x:row>
    <x:row r="455">
      <x:c r="A455" s="14" t="n">
        <x:v>91</x:v>
      </x:c>
      <x:c r="B455" s="14" t="n">
        <x:v>4</x:v>
      </x:c>
      <x:c r="C455" s="14" t="n">
        <x:v>1</x:v>
      </x:c>
      <x:c r="D455" s="15" t="n">
        <x:f>IF(AND(C455=1,INDEX('Respondents'!$C$2:$C$121,MATCH(A455,'Respondents'!$A$2:$A$121,0))&gt;=INDEX('Strategies'!$C$2:$C$6,MATCH(B455,'Strategies'!$A$2:$A$6,0))),1,0)</x:f>
        <x:v>0</x:v>
      </x:c>
      <x:c r="E455" s="15" t="n">
        <x:f>INDEX('Respondents'!$B$2:$B$121,MATCH(A455,'Respondents'!$A$2:$A$121,0))</x:f>
        <x:v>4</x:v>
      </x:c>
    </x:row>
    <x:row r="456">
      <x:c r="A456" s="14" t="n">
        <x:v>91</x:v>
      </x:c>
      <x:c r="B456" s="14" t="n">
        <x:v>5</x:v>
      </x:c>
      <x:c r="C456" s="14" t="n">
        <x:v>1</x:v>
      </x:c>
      <x:c r="D456" s="15" t="n">
        <x:f>IF(AND(C456=1,INDEX('Respondents'!$C$2:$C$121,MATCH(A456,'Respondents'!$A$2:$A$121,0))&gt;=INDEX('Strategies'!$C$2:$C$6,MATCH(B456,'Strategies'!$A$2:$A$6,0))),1,0)</x:f>
        <x:v>0</x:v>
      </x:c>
      <x:c r="E456" s="15" t="n">
        <x:f>INDEX('Respondents'!$B$2:$B$121,MATCH(A456,'Respondents'!$A$2:$A$121,0))</x:f>
        <x:v>4</x:v>
      </x:c>
    </x:row>
    <x:row r="457">
      <x:c r="A457" s="14" t="n">
        <x:v>92</x:v>
      </x:c>
      <x:c r="B457" s="14" t="n">
        <x:v>1</x:v>
      </x:c>
      <x:c r="C457" s="14" t="n">
        <x:v>0</x:v>
      </x:c>
      <x:c r="D457" s="15" t="n">
        <x:f>IF(AND(C457=1,INDEX('Respondents'!$C$2:$C$121,MATCH(A457,'Respondents'!$A$2:$A$121,0))&gt;=INDEX('Strategies'!$C$2:$C$6,MATCH(B457,'Strategies'!$A$2:$A$6,0))),1,0)</x:f>
        <x:v>0</x:v>
      </x:c>
      <x:c r="E457" s="15" t="n">
        <x:f>INDEX('Respondents'!$B$2:$B$121,MATCH(A457,'Respondents'!$A$2:$A$121,0))</x:f>
        <x:v>4</x:v>
      </x:c>
    </x:row>
    <x:row r="458">
      <x:c r="A458" s="14" t="n">
        <x:v>92</x:v>
      </x:c>
      <x:c r="B458" s="14" t="n">
        <x:v>2</x:v>
      </x:c>
      <x:c r="C458" s="14" t="n">
        <x:v>0</x:v>
      </x:c>
      <x:c r="D458" s="15" t="n">
        <x:f>IF(AND(C458=1,INDEX('Respondents'!$C$2:$C$121,MATCH(A458,'Respondents'!$A$2:$A$121,0))&gt;=INDEX('Strategies'!$C$2:$C$6,MATCH(B458,'Strategies'!$A$2:$A$6,0))),1,0)</x:f>
        <x:v>0</x:v>
      </x:c>
      <x:c r="E458" s="15" t="n">
        <x:f>INDEX('Respondents'!$B$2:$B$121,MATCH(A458,'Respondents'!$A$2:$A$121,0))</x:f>
        <x:v>4</x:v>
      </x:c>
    </x:row>
    <x:row r="459">
      <x:c r="A459" s="14" t="n">
        <x:v>92</x:v>
      </x:c>
      <x:c r="B459" s="14" t="n">
        <x:v>3</x:v>
      </x:c>
      <x:c r="C459" s="14" t="n">
        <x:v>1</x:v>
      </x:c>
      <x:c r="D459" s="15" t="n">
        <x:f>IF(AND(C459=1,INDEX('Respondents'!$C$2:$C$121,MATCH(A459,'Respondents'!$A$2:$A$121,0))&gt;=INDEX('Strategies'!$C$2:$C$6,MATCH(B459,'Strategies'!$A$2:$A$6,0))),1,0)</x:f>
        <x:v>0</x:v>
      </x:c>
      <x:c r="E459" s="15" t="n">
        <x:f>INDEX('Respondents'!$B$2:$B$121,MATCH(A459,'Respondents'!$A$2:$A$121,0))</x:f>
        <x:v>4</x:v>
      </x:c>
    </x:row>
    <x:row r="460">
      <x:c r="A460" s="14" t="n">
        <x:v>92</x:v>
      </x:c>
      <x:c r="B460" s="14" t="n">
        <x:v>4</x:v>
      </x:c>
      <x:c r="C460" s="14" t="n">
        <x:v>1</x:v>
      </x:c>
      <x:c r="D460" s="15" t="n">
        <x:f>IF(AND(C460=1,INDEX('Respondents'!$C$2:$C$121,MATCH(A460,'Respondents'!$A$2:$A$121,0))&gt;=INDEX('Strategies'!$C$2:$C$6,MATCH(B460,'Strategies'!$A$2:$A$6,0))),1,0)</x:f>
        <x:v>0</x:v>
      </x:c>
      <x:c r="E460" s="15" t="n">
        <x:f>INDEX('Respondents'!$B$2:$B$121,MATCH(A460,'Respondents'!$A$2:$A$121,0))</x:f>
        <x:v>4</x:v>
      </x:c>
    </x:row>
    <x:row r="461">
      <x:c r="A461" s="14" t="n">
        <x:v>92</x:v>
      </x:c>
      <x:c r="B461" s="14" t="n">
        <x:v>5</x:v>
      </x:c>
      <x:c r="C461" s="14" t="n">
        <x:v>1</x:v>
      </x:c>
      <x:c r="D461" s="15" t="n">
        <x:f>IF(AND(C461=1,INDEX('Respondents'!$C$2:$C$121,MATCH(A461,'Respondents'!$A$2:$A$121,0))&gt;=INDEX('Strategies'!$C$2:$C$6,MATCH(B461,'Strategies'!$A$2:$A$6,0))),1,0)</x:f>
        <x:v>0</x:v>
      </x:c>
      <x:c r="E461" s="15" t="n">
        <x:f>INDEX('Respondents'!$B$2:$B$121,MATCH(A461,'Respondents'!$A$2:$A$121,0))</x:f>
        <x:v>4</x:v>
      </x:c>
    </x:row>
    <x:row r="462">
      <x:c r="A462" s="14" t="n">
        <x:v>93</x:v>
      </x:c>
      <x:c r="B462" s="14" t="n">
        <x:v>1</x:v>
      </x:c>
      <x:c r="C462" s="14" t="n">
        <x:v>1</x:v>
      </x:c>
      <x:c r="D462" s="15" t="n">
        <x:f>IF(AND(C462=1,INDEX('Respondents'!$C$2:$C$121,MATCH(A462,'Respondents'!$A$2:$A$121,0))&gt;=INDEX('Strategies'!$C$2:$C$6,MATCH(B462,'Strategies'!$A$2:$A$6,0))),1,0)</x:f>
        <x:v>0</x:v>
      </x:c>
      <x:c r="E462" s="15" t="n">
        <x:f>INDEX('Respondents'!$B$2:$B$121,MATCH(A462,'Respondents'!$A$2:$A$121,0))</x:f>
        <x:v>4</x:v>
      </x:c>
    </x:row>
    <x:row r="463">
      <x:c r="A463" s="14" t="n">
        <x:v>93</x:v>
      </x:c>
      <x:c r="B463" s="14" t="n">
        <x:v>2</x:v>
      </x:c>
      <x:c r="C463" s="14" t="n">
        <x:v>1</x:v>
      </x:c>
      <x:c r="D463" s="15" t="n">
        <x:f>IF(AND(C463=1,INDEX('Respondents'!$C$2:$C$121,MATCH(A463,'Respondents'!$A$2:$A$121,0))&gt;=INDEX('Strategies'!$C$2:$C$6,MATCH(B463,'Strategies'!$A$2:$A$6,0))),1,0)</x:f>
        <x:v>0</x:v>
      </x:c>
      <x:c r="E463" s="15" t="n">
        <x:f>INDEX('Respondents'!$B$2:$B$121,MATCH(A463,'Respondents'!$A$2:$A$121,0))</x:f>
        <x:v>4</x:v>
      </x:c>
    </x:row>
    <x:row r="464">
      <x:c r="A464" s="14" t="n">
        <x:v>93</x:v>
      </x:c>
      <x:c r="B464" s="14" t="n">
        <x:v>3</x:v>
      </x:c>
      <x:c r="C464" s="14" t="n">
        <x:v>1</x:v>
      </x:c>
      <x:c r="D464" s="15" t="n">
        <x:f>IF(AND(C464=1,INDEX('Respondents'!$C$2:$C$121,MATCH(A464,'Respondents'!$A$2:$A$121,0))&gt;=INDEX('Strategies'!$C$2:$C$6,MATCH(B464,'Strategies'!$A$2:$A$6,0))),1,0)</x:f>
        <x:v>0</x:v>
      </x:c>
      <x:c r="E464" s="15" t="n">
        <x:f>INDEX('Respondents'!$B$2:$B$121,MATCH(A464,'Respondents'!$A$2:$A$121,0))</x:f>
        <x:v>4</x:v>
      </x:c>
    </x:row>
    <x:row r="465">
      <x:c r="A465" s="14" t="n">
        <x:v>93</x:v>
      </x:c>
      <x:c r="B465" s="14" t="n">
        <x:v>4</x:v>
      </x:c>
      <x:c r="C465" s="14" t="n">
        <x:v>1</x:v>
      </x:c>
      <x:c r="D465" s="15" t="n">
        <x:f>IF(AND(C465=1,INDEX('Respondents'!$C$2:$C$121,MATCH(A465,'Respondents'!$A$2:$A$121,0))&gt;=INDEX('Strategies'!$C$2:$C$6,MATCH(B465,'Strategies'!$A$2:$A$6,0))),1,0)</x:f>
        <x:v>0</x:v>
      </x:c>
      <x:c r="E465" s="15" t="n">
        <x:f>INDEX('Respondents'!$B$2:$B$121,MATCH(A465,'Respondents'!$A$2:$A$121,0))</x:f>
        <x:v>4</x:v>
      </x:c>
    </x:row>
    <x:row r="466">
      <x:c r="A466" s="14" t="n">
        <x:v>93</x:v>
      </x:c>
      <x:c r="B466" s="14" t="n">
        <x:v>5</x:v>
      </x:c>
      <x:c r="C466" s="14" t="n">
        <x:v>1</x:v>
      </x:c>
      <x:c r="D466" s="15" t="n">
        <x:f>IF(AND(C466=1,INDEX('Respondents'!$C$2:$C$121,MATCH(A466,'Respondents'!$A$2:$A$121,0))&gt;=INDEX('Strategies'!$C$2:$C$6,MATCH(B466,'Strategies'!$A$2:$A$6,0))),1,0)</x:f>
        <x:v>0</x:v>
      </x:c>
      <x:c r="E466" s="15" t="n">
        <x:f>INDEX('Respondents'!$B$2:$B$121,MATCH(A466,'Respondents'!$A$2:$A$121,0))</x:f>
        <x:v>4</x:v>
      </x:c>
    </x:row>
    <x:row r="467">
      <x:c r="A467" s="14" t="n">
        <x:v>94</x:v>
      </x:c>
      <x:c r="B467" s="14" t="n">
        <x:v>1</x:v>
      </x:c>
      <x:c r="C467" s="14" t="n">
        <x:v>1</x:v>
      </x:c>
      <x:c r="D467" s="15" t="n">
        <x:f>IF(AND(C467=1,INDEX('Respondents'!$C$2:$C$121,MATCH(A467,'Respondents'!$A$2:$A$121,0))&gt;=INDEX('Strategies'!$C$2:$C$6,MATCH(B467,'Strategies'!$A$2:$A$6,0))),1,0)</x:f>
        <x:v>0</x:v>
      </x:c>
      <x:c r="E467" s="15" t="n">
        <x:f>INDEX('Respondents'!$B$2:$B$121,MATCH(A467,'Respondents'!$A$2:$A$121,0))</x:f>
        <x:v>4</x:v>
      </x:c>
    </x:row>
    <x:row r="468">
      <x:c r="A468" s="14" t="n">
        <x:v>94</x:v>
      </x:c>
      <x:c r="B468" s="14" t="n">
        <x:v>2</x:v>
      </x:c>
      <x:c r="C468" s="14" t="n">
        <x:v>1</x:v>
      </x:c>
      <x:c r="D468" s="15" t="n">
        <x:f>IF(AND(C468=1,INDEX('Respondents'!$C$2:$C$121,MATCH(A468,'Respondents'!$A$2:$A$121,0))&gt;=INDEX('Strategies'!$C$2:$C$6,MATCH(B468,'Strategies'!$A$2:$A$6,0))),1,0)</x:f>
        <x:v>0</x:v>
      </x:c>
      <x:c r="E468" s="15" t="n">
        <x:f>INDEX('Respondents'!$B$2:$B$121,MATCH(A468,'Respondents'!$A$2:$A$121,0))</x:f>
        <x:v>4</x:v>
      </x:c>
    </x:row>
    <x:row r="469">
      <x:c r="A469" s="14" t="n">
        <x:v>94</x:v>
      </x:c>
      <x:c r="B469" s="14" t="n">
        <x:v>3</x:v>
      </x:c>
      <x:c r="C469" s="14" t="n">
        <x:v>1</x:v>
      </x:c>
      <x:c r="D469" s="15" t="n">
        <x:f>IF(AND(C469=1,INDEX('Respondents'!$C$2:$C$121,MATCH(A469,'Respondents'!$A$2:$A$121,0))&gt;=INDEX('Strategies'!$C$2:$C$6,MATCH(B469,'Strategies'!$A$2:$A$6,0))),1,0)</x:f>
        <x:v>0</x:v>
      </x:c>
      <x:c r="E469" s="15" t="n">
        <x:f>INDEX('Respondents'!$B$2:$B$121,MATCH(A469,'Respondents'!$A$2:$A$121,0))</x:f>
        <x:v>4</x:v>
      </x:c>
    </x:row>
    <x:row r="470">
      <x:c r="A470" s="14" t="n">
        <x:v>94</x:v>
      </x:c>
      <x:c r="B470" s="14" t="n">
        <x:v>4</x:v>
      </x:c>
      <x:c r="C470" s="14" t="n">
        <x:v>1</x:v>
      </x:c>
      <x:c r="D470" s="15" t="n">
        <x:f>IF(AND(C470=1,INDEX('Respondents'!$C$2:$C$121,MATCH(A470,'Respondents'!$A$2:$A$121,0))&gt;=INDEX('Strategies'!$C$2:$C$6,MATCH(B470,'Strategies'!$A$2:$A$6,0))),1,0)</x:f>
        <x:v>0</x:v>
      </x:c>
      <x:c r="E470" s="15" t="n">
        <x:f>INDEX('Respondents'!$B$2:$B$121,MATCH(A470,'Respondents'!$A$2:$A$121,0))</x:f>
        <x:v>4</x:v>
      </x:c>
    </x:row>
    <x:row r="471">
      <x:c r="A471" s="14" t="n">
        <x:v>94</x:v>
      </x:c>
      <x:c r="B471" s="14" t="n">
        <x:v>5</x:v>
      </x:c>
      <x:c r="C471" s="14" t="n">
        <x:v>0</x:v>
      </x:c>
      <x:c r="D471" s="15" t="n">
        <x:f>IF(AND(C471=1,INDEX('Respondents'!$C$2:$C$121,MATCH(A471,'Respondents'!$A$2:$A$121,0))&gt;=INDEX('Strategies'!$C$2:$C$6,MATCH(B471,'Strategies'!$A$2:$A$6,0))),1,0)</x:f>
        <x:v>0</x:v>
      </x:c>
      <x:c r="E471" s="15" t="n">
        <x:f>INDEX('Respondents'!$B$2:$B$121,MATCH(A471,'Respondents'!$A$2:$A$121,0))</x:f>
        <x:v>4</x:v>
      </x:c>
    </x:row>
    <x:row r="472">
      <x:c r="A472" s="14" t="n">
        <x:v>95</x:v>
      </x:c>
      <x:c r="B472" s="14" t="n">
        <x:v>1</x:v>
      </x:c>
      <x:c r="C472" s="14" t="n">
        <x:v>1</x:v>
      </x:c>
      <x:c r="D472" s="15" t="n">
        <x:f>IF(AND(C472=1,INDEX('Respondents'!$C$2:$C$121,MATCH(A472,'Respondents'!$A$2:$A$121,0))&gt;=INDEX('Strategies'!$C$2:$C$6,MATCH(B472,'Strategies'!$A$2:$A$6,0))),1,0)</x:f>
        <x:v>0</x:v>
      </x:c>
      <x:c r="E472" s="15" t="n">
        <x:f>INDEX('Respondents'!$B$2:$B$121,MATCH(A472,'Respondents'!$A$2:$A$121,0))</x:f>
        <x:v>4</x:v>
      </x:c>
    </x:row>
    <x:row r="473">
      <x:c r="A473" s="14" t="n">
        <x:v>95</x:v>
      </x:c>
      <x:c r="B473" s="14" t="n">
        <x:v>2</x:v>
      </x:c>
      <x:c r="C473" s="14" t="n">
        <x:v>0</x:v>
      </x:c>
      <x:c r="D473" s="15" t="n">
        <x:f>IF(AND(C473=1,INDEX('Respondents'!$C$2:$C$121,MATCH(A473,'Respondents'!$A$2:$A$121,0))&gt;=INDEX('Strategies'!$C$2:$C$6,MATCH(B473,'Strategies'!$A$2:$A$6,0))),1,0)</x:f>
        <x:v>0</x:v>
      </x:c>
      <x:c r="E473" s="15" t="n">
        <x:f>INDEX('Respondents'!$B$2:$B$121,MATCH(A473,'Respondents'!$A$2:$A$121,0))</x:f>
        <x:v>4</x:v>
      </x:c>
    </x:row>
    <x:row r="474">
      <x:c r="A474" s="14" t="n">
        <x:v>95</x:v>
      </x:c>
      <x:c r="B474" s="14" t="n">
        <x:v>3</x:v>
      </x:c>
      <x:c r="C474" s="14" t="n">
        <x:v>1</x:v>
      </x:c>
      <x:c r="D474" s="15" t="n">
        <x:f>IF(AND(C474=1,INDEX('Respondents'!$C$2:$C$121,MATCH(A474,'Respondents'!$A$2:$A$121,0))&gt;=INDEX('Strategies'!$C$2:$C$6,MATCH(B474,'Strategies'!$A$2:$A$6,0))),1,0)</x:f>
        <x:v>0</x:v>
      </x:c>
      <x:c r="E474" s="15" t="n">
        <x:f>INDEX('Respondents'!$B$2:$B$121,MATCH(A474,'Respondents'!$A$2:$A$121,0))</x:f>
        <x:v>4</x:v>
      </x:c>
    </x:row>
    <x:row r="475">
      <x:c r="A475" s="14" t="n">
        <x:v>95</x:v>
      </x:c>
      <x:c r="B475" s="14" t="n">
        <x:v>4</x:v>
      </x:c>
      <x:c r="C475" s="14" t="n">
        <x:v>0</x:v>
      </x:c>
      <x:c r="D475" s="15" t="n">
        <x:f>IF(AND(C475=1,INDEX('Respondents'!$C$2:$C$121,MATCH(A475,'Respondents'!$A$2:$A$121,0))&gt;=INDEX('Strategies'!$C$2:$C$6,MATCH(B475,'Strategies'!$A$2:$A$6,0))),1,0)</x:f>
        <x:v>0</x:v>
      </x:c>
      <x:c r="E475" s="15" t="n">
        <x:f>INDEX('Respondents'!$B$2:$B$121,MATCH(A475,'Respondents'!$A$2:$A$121,0))</x:f>
        <x:v>4</x:v>
      </x:c>
    </x:row>
    <x:row r="476">
      <x:c r="A476" s="14" t="n">
        <x:v>95</x:v>
      </x:c>
      <x:c r="B476" s="14" t="n">
        <x:v>5</x:v>
      </x:c>
      <x:c r="C476" s="14" t="n">
        <x:v>0</x:v>
      </x:c>
      <x:c r="D476" s="15" t="n">
        <x:f>IF(AND(C476=1,INDEX('Respondents'!$C$2:$C$121,MATCH(A476,'Respondents'!$A$2:$A$121,0))&gt;=INDEX('Strategies'!$C$2:$C$6,MATCH(B476,'Strategies'!$A$2:$A$6,0))),1,0)</x:f>
        <x:v>0</x:v>
      </x:c>
      <x:c r="E476" s="15" t="n">
        <x:f>INDEX('Respondents'!$B$2:$B$121,MATCH(A476,'Respondents'!$A$2:$A$121,0))</x:f>
        <x:v>4</x:v>
      </x:c>
    </x:row>
    <x:row r="477">
      <x:c r="A477" s="14" t="n">
        <x:v>96</x:v>
      </x:c>
      <x:c r="B477" s="14" t="n">
        <x:v>1</x:v>
      </x:c>
      <x:c r="C477" s="14" t="n">
        <x:v>1</x:v>
      </x:c>
      <x:c r="D477" s="15" t="n">
        <x:f>IF(AND(C477=1,INDEX('Respondents'!$C$2:$C$121,MATCH(A477,'Respondents'!$A$2:$A$121,0))&gt;=INDEX('Strategies'!$C$2:$C$6,MATCH(B477,'Strategies'!$A$2:$A$6,0))),1,0)</x:f>
        <x:v>0</x:v>
      </x:c>
      <x:c r="E477" s="15" t="n">
        <x:f>INDEX('Respondents'!$B$2:$B$121,MATCH(A477,'Respondents'!$A$2:$A$121,0))</x:f>
        <x:v>4</x:v>
      </x:c>
    </x:row>
    <x:row r="478">
      <x:c r="A478" s="14" t="n">
        <x:v>96</x:v>
      </x:c>
      <x:c r="B478" s="14" t="n">
        <x:v>2</x:v>
      </x:c>
      <x:c r="C478" s="14" t="n">
        <x:v>1</x:v>
      </x:c>
      <x:c r="D478" s="15" t="n">
        <x:f>IF(AND(C478=1,INDEX('Respondents'!$C$2:$C$121,MATCH(A478,'Respondents'!$A$2:$A$121,0))&gt;=INDEX('Strategies'!$C$2:$C$6,MATCH(B478,'Strategies'!$A$2:$A$6,0))),1,0)</x:f>
        <x:v>0</x:v>
      </x:c>
      <x:c r="E478" s="15" t="n">
        <x:f>INDEX('Respondents'!$B$2:$B$121,MATCH(A478,'Respondents'!$A$2:$A$121,0))</x:f>
        <x:v>4</x:v>
      </x:c>
    </x:row>
    <x:row r="479">
      <x:c r="A479" s="14" t="n">
        <x:v>96</x:v>
      </x:c>
      <x:c r="B479" s="14" t="n">
        <x:v>3</x:v>
      </x:c>
      <x:c r="C479" s="14" t="n">
        <x:v>1</x:v>
      </x:c>
      <x:c r="D479" s="15" t="n">
        <x:f>IF(AND(C479=1,INDEX('Respondents'!$C$2:$C$121,MATCH(A479,'Respondents'!$A$2:$A$121,0))&gt;=INDEX('Strategies'!$C$2:$C$6,MATCH(B479,'Strategies'!$A$2:$A$6,0))),1,0)</x:f>
        <x:v>0</x:v>
      </x:c>
      <x:c r="E479" s="15" t="n">
        <x:f>INDEX('Respondents'!$B$2:$B$121,MATCH(A479,'Respondents'!$A$2:$A$121,0))</x:f>
        <x:v>4</x:v>
      </x:c>
    </x:row>
    <x:row r="480">
      <x:c r="A480" s="14" t="n">
        <x:v>96</x:v>
      </x:c>
      <x:c r="B480" s="14" t="n">
        <x:v>4</x:v>
      </x:c>
      <x:c r="C480" s="14" t="n">
        <x:v>0</x:v>
      </x:c>
      <x:c r="D480" s="15" t="n">
        <x:f>IF(AND(C480=1,INDEX('Respondents'!$C$2:$C$121,MATCH(A480,'Respondents'!$A$2:$A$121,0))&gt;=INDEX('Strategies'!$C$2:$C$6,MATCH(B480,'Strategies'!$A$2:$A$6,0))),1,0)</x:f>
        <x:v>0</x:v>
      </x:c>
      <x:c r="E480" s="15" t="n">
        <x:f>INDEX('Respondents'!$B$2:$B$121,MATCH(A480,'Respondents'!$A$2:$A$121,0))</x:f>
        <x:v>4</x:v>
      </x:c>
    </x:row>
    <x:row r="481">
      <x:c r="A481" s="14" t="n">
        <x:v>96</x:v>
      </x:c>
      <x:c r="B481" s="14" t="n">
        <x:v>5</x:v>
      </x:c>
      <x:c r="C481" s="14" t="n">
        <x:v>0</x:v>
      </x:c>
      <x:c r="D481" s="15" t="n">
        <x:f>IF(AND(C481=1,INDEX('Respondents'!$C$2:$C$121,MATCH(A481,'Respondents'!$A$2:$A$121,0))&gt;=INDEX('Strategies'!$C$2:$C$6,MATCH(B481,'Strategies'!$A$2:$A$6,0))),1,0)</x:f>
        <x:v>0</x:v>
      </x:c>
      <x:c r="E481" s="15" t="n">
        <x:f>INDEX('Respondents'!$B$2:$B$121,MATCH(A481,'Respondents'!$A$2:$A$121,0))</x:f>
        <x:v>4</x:v>
      </x:c>
    </x:row>
    <x:row r="482">
      <x:c r="A482" s="14" t="n">
        <x:v>97</x:v>
      </x:c>
      <x:c r="B482" s="14" t="n">
        <x:v>1</x:v>
      </x:c>
      <x:c r="C482" s="14" t="n">
        <x:v>1</x:v>
      </x:c>
      <x:c r="D482" s="15" t="n">
        <x:f>IF(AND(C482=1,INDEX('Respondents'!$C$2:$C$121,MATCH(A482,'Respondents'!$A$2:$A$121,0))&gt;=INDEX('Strategies'!$C$2:$C$6,MATCH(B482,'Strategies'!$A$2:$A$6,0))),1,0)</x:f>
        <x:v>0</x:v>
      </x:c>
      <x:c r="E482" s="15" t="n">
        <x:f>INDEX('Respondents'!$B$2:$B$121,MATCH(A482,'Respondents'!$A$2:$A$121,0))</x:f>
        <x:v>4</x:v>
      </x:c>
    </x:row>
    <x:row r="483">
      <x:c r="A483" s="14" t="n">
        <x:v>97</x:v>
      </x:c>
      <x:c r="B483" s="14" t="n">
        <x:v>2</x:v>
      </x:c>
      <x:c r="C483" s="14" t="n">
        <x:v>0</x:v>
      </x:c>
      <x:c r="D483" s="15" t="n">
        <x:f>IF(AND(C483=1,INDEX('Respondents'!$C$2:$C$121,MATCH(A483,'Respondents'!$A$2:$A$121,0))&gt;=INDEX('Strategies'!$C$2:$C$6,MATCH(B483,'Strategies'!$A$2:$A$6,0))),1,0)</x:f>
        <x:v>0</x:v>
      </x:c>
      <x:c r="E483" s="15" t="n">
        <x:f>INDEX('Respondents'!$B$2:$B$121,MATCH(A483,'Respondents'!$A$2:$A$121,0))</x:f>
        <x:v>4</x:v>
      </x:c>
    </x:row>
    <x:row r="484">
      <x:c r="A484" s="14" t="n">
        <x:v>97</x:v>
      </x:c>
      <x:c r="B484" s="14" t="n">
        <x:v>3</x:v>
      </x:c>
      <x:c r="C484" s="14" t="n">
        <x:v>1</x:v>
      </x:c>
      <x:c r="D484" s="15" t="n">
        <x:f>IF(AND(C484=1,INDEX('Respondents'!$C$2:$C$121,MATCH(A484,'Respondents'!$A$2:$A$121,0))&gt;=INDEX('Strategies'!$C$2:$C$6,MATCH(B484,'Strategies'!$A$2:$A$6,0))),1,0)</x:f>
        <x:v>0</x:v>
      </x:c>
      <x:c r="E484" s="15" t="n">
        <x:f>INDEX('Respondents'!$B$2:$B$121,MATCH(A484,'Respondents'!$A$2:$A$121,0))</x:f>
        <x:v>4</x:v>
      </x:c>
    </x:row>
    <x:row r="485">
      <x:c r="A485" s="14" t="n">
        <x:v>97</x:v>
      </x:c>
      <x:c r="B485" s="14" t="n">
        <x:v>4</x:v>
      </x:c>
      <x:c r="C485" s="14" t="n">
        <x:v>1</x:v>
      </x:c>
      <x:c r="D485" s="15" t="n">
        <x:f>IF(AND(C485=1,INDEX('Respondents'!$C$2:$C$121,MATCH(A485,'Respondents'!$A$2:$A$121,0))&gt;=INDEX('Strategies'!$C$2:$C$6,MATCH(B485,'Strategies'!$A$2:$A$6,0))),1,0)</x:f>
        <x:v>0</x:v>
      </x:c>
      <x:c r="E485" s="15" t="n">
        <x:f>INDEX('Respondents'!$B$2:$B$121,MATCH(A485,'Respondents'!$A$2:$A$121,0))</x:f>
        <x:v>4</x:v>
      </x:c>
    </x:row>
    <x:row r="486">
      <x:c r="A486" s="14" t="n">
        <x:v>97</x:v>
      </x:c>
      <x:c r="B486" s="14" t="n">
        <x:v>5</x:v>
      </x:c>
      <x:c r="C486" s="14" t="n">
        <x:v>0</x:v>
      </x:c>
      <x:c r="D486" s="15" t="n">
        <x:f>IF(AND(C486=1,INDEX('Respondents'!$C$2:$C$121,MATCH(A486,'Respondents'!$A$2:$A$121,0))&gt;=INDEX('Strategies'!$C$2:$C$6,MATCH(B486,'Strategies'!$A$2:$A$6,0))),1,0)</x:f>
        <x:v>0</x:v>
      </x:c>
      <x:c r="E486" s="15" t="n">
        <x:f>INDEX('Respondents'!$B$2:$B$121,MATCH(A486,'Respondents'!$A$2:$A$121,0))</x:f>
        <x:v>4</x:v>
      </x:c>
    </x:row>
    <x:row r="487">
      <x:c r="A487" s="14" t="n">
        <x:v>98</x:v>
      </x:c>
      <x:c r="B487" s="14" t="n">
        <x:v>1</x:v>
      </x:c>
      <x:c r="C487" s="14" t="n">
        <x:v>0</x:v>
      </x:c>
      <x:c r="D487" s="15" t="n">
        <x:f>IF(AND(C487=1,INDEX('Respondents'!$C$2:$C$121,MATCH(A487,'Respondents'!$A$2:$A$121,0))&gt;=INDEX('Strategies'!$C$2:$C$6,MATCH(B487,'Strategies'!$A$2:$A$6,0))),1,0)</x:f>
        <x:v>0</x:v>
      </x:c>
      <x:c r="E487" s="15" t="n">
        <x:f>INDEX('Respondents'!$B$2:$B$121,MATCH(A487,'Respondents'!$A$2:$A$121,0))</x:f>
        <x:v>4</x:v>
      </x:c>
    </x:row>
    <x:row r="488">
      <x:c r="A488" s="14" t="n">
        <x:v>98</x:v>
      </x:c>
      <x:c r="B488" s="14" t="n">
        <x:v>2</x:v>
      </x:c>
      <x:c r="C488" s="14" t="n">
        <x:v>1</x:v>
      </x:c>
      <x:c r="D488" s="15" t="n">
        <x:f>IF(AND(C488=1,INDEX('Respondents'!$C$2:$C$121,MATCH(A488,'Respondents'!$A$2:$A$121,0))&gt;=INDEX('Strategies'!$C$2:$C$6,MATCH(B488,'Strategies'!$A$2:$A$6,0))),1,0)</x:f>
        <x:v>0</x:v>
      </x:c>
      <x:c r="E488" s="15" t="n">
        <x:f>INDEX('Respondents'!$B$2:$B$121,MATCH(A488,'Respondents'!$A$2:$A$121,0))</x:f>
        <x:v>4</x:v>
      </x:c>
    </x:row>
    <x:row r="489">
      <x:c r="A489" s="14" t="n">
        <x:v>98</x:v>
      </x:c>
      <x:c r="B489" s="14" t="n">
        <x:v>3</x:v>
      </x:c>
      <x:c r="C489" s="14" t="n">
        <x:v>1</x:v>
      </x:c>
      <x:c r="D489" s="15" t="n">
        <x:f>IF(AND(C489=1,INDEX('Respondents'!$C$2:$C$121,MATCH(A489,'Respondents'!$A$2:$A$121,0))&gt;=INDEX('Strategies'!$C$2:$C$6,MATCH(B489,'Strategies'!$A$2:$A$6,0))),1,0)</x:f>
        <x:v>0</x:v>
      </x:c>
      <x:c r="E489" s="15" t="n">
        <x:f>INDEX('Respondents'!$B$2:$B$121,MATCH(A489,'Respondents'!$A$2:$A$121,0))</x:f>
        <x:v>4</x:v>
      </x:c>
    </x:row>
    <x:row r="490">
      <x:c r="A490" s="14" t="n">
        <x:v>98</x:v>
      </x:c>
      <x:c r="B490" s="14" t="n">
        <x:v>4</x:v>
      </x:c>
      <x:c r="C490" s="14" t="n">
        <x:v>1</x:v>
      </x:c>
      <x:c r="D490" s="15" t="n">
        <x:f>IF(AND(C490=1,INDEX('Respondents'!$C$2:$C$121,MATCH(A490,'Respondents'!$A$2:$A$121,0))&gt;=INDEX('Strategies'!$C$2:$C$6,MATCH(B490,'Strategies'!$A$2:$A$6,0))),1,0)</x:f>
        <x:v>1</x:v>
      </x:c>
      <x:c r="E490" s="15" t="n">
        <x:f>INDEX('Respondents'!$B$2:$B$121,MATCH(A490,'Respondents'!$A$2:$A$121,0))</x:f>
        <x:v>4</x:v>
      </x:c>
    </x:row>
    <x:row r="491">
      <x:c r="A491" s="14" t="n">
        <x:v>98</x:v>
      </x:c>
      <x:c r="B491" s="14" t="n">
        <x:v>5</x:v>
      </x:c>
      <x:c r="C491" s="14" t="n">
        <x:v>1</x:v>
      </x:c>
      <x:c r="D491" s="15" t="n">
        <x:f>IF(AND(C491=1,INDEX('Respondents'!$C$2:$C$121,MATCH(A491,'Respondents'!$A$2:$A$121,0))&gt;=INDEX('Strategies'!$C$2:$C$6,MATCH(B491,'Strategies'!$A$2:$A$6,0))),1,0)</x:f>
        <x:v>0</x:v>
      </x:c>
      <x:c r="E491" s="15" t="n">
        <x:f>INDEX('Respondents'!$B$2:$B$121,MATCH(A491,'Respondents'!$A$2:$A$121,0))</x:f>
        <x:v>4</x:v>
      </x:c>
    </x:row>
    <x:row r="492">
      <x:c r="A492" s="14" t="n">
        <x:v>99</x:v>
      </x:c>
      <x:c r="B492" s="14" t="n">
        <x:v>1</x:v>
      </x:c>
      <x:c r="C492" s="14" t="n">
        <x:v>1</x:v>
      </x:c>
      <x:c r="D492" s="15" t="n">
        <x:f>IF(AND(C492=1,INDEX('Respondents'!$C$2:$C$121,MATCH(A492,'Respondents'!$A$2:$A$121,0))&gt;=INDEX('Strategies'!$C$2:$C$6,MATCH(B492,'Strategies'!$A$2:$A$6,0))),1,0)</x:f>
        <x:v>0</x:v>
      </x:c>
      <x:c r="E492" s="15" t="n">
        <x:f>INDEX('Respondents'!$B$2:$B$121,MATCH(A492,'Respondents'!$A$2:$A$121,0))</x:f>
        <x:v>4</x:v>
      </x:c>
    </x:row>
    <x:row r="493">
      <x:c r="A493" s="14" t="n">
        <x:v>99</x:v>
      </x:c>
      <x:c r="B493" s="14" t="n">
        <x:v>2</x:v>
      </x:c>
      <x:c r="C493" s="14" t="n">
        <x:v>1</x:v>
      </x:c>
      <x:c r="D493" s="15" t="n">
        <x:f>IF(AND(C493=1,INDEX('Respondents'!$C$2:$C$121,MATCH(A493,'Respondents'!$A$2:$A$121,0))&gt;=INDEX('Strategies'!$C$2:$C$6,MATCH(B493,'Strategies'!$A$2:$A$6,0))),1,0)</x:f>
        <x:v>0</x:v>
      </x:c>
      <x:c r="E493" s="15" t="n">
        <x:f>INDEX('Respondents'!$B$2:$B$121,MATCH(A493,'Respondents'!$A$2:$A$121,0))</x:f>
        <x:v>4</x:v>
      </x:c>
    </x:row>
    <x:row r="494">
      <x:c r="A494" s="14" t="n">
        <x:v>99</x:v>
      </x:c>
      <x:c r="B494" s="14" t="n">
        <x:v>3</x:v>
      </x:c>
      <x:c r="C494" s="14" t="n">
        <x:v>1</x:v>
      </x:c>
      <x:c r="D494" s="15" t="n">
        <x:f>IF(AND(C494=1,INDEX('Respondents'!$C$2:$C$121,MATCH(A494,'Respondents'!$A$2:$A$121,0))&gt;=INDEX('Strategies'!$C$2:$C$6,MATCH(B494,'Strategies'!$A$2:$A$6,0))),1,0)</x:f>
        <x:v>0</x:v>
      </x:c>
      <x:c r="E494" s="15" t="n">
        <x:f>INDEX('Respondents'!$B$2:$B$121,MATCH(A494,'Respondents'!$A$2:$A$121,0))</x:f>
        <x:v>4</x:v>
      </x:c>
    </x:row>
    <x:row r="495">
      <x:c r="A495" s="14" t="n">
        <x:v>99</x:v>
      </x:c>
      <x:c r="B495" s="14" t="n">
        <x:v>4</x:v>
      </x:c>
      <x:c r="C495" s="14" t="n">
        <x:v>1</x:v>
      </x:c>
      <x:c r="D495" s="15" t="n">
        <x:f>IF(AND(C495=1,INDEX('Respondents'!$C$2:$C$121,MATCH(A495,'Respondents'!$A$2:$A$121,0))&gt;=INDEX('Strategies'!$C$2:$C$6,MATCH(B495,'Strategies'!$A$2:$A$6,0))),1,0)</x:f>
        <x:v>0</x:v>
      </x:c>
      <x:c r="E495" s="15" t="n">
        <x:f>INDEX('Respondents'!$B$2:$B$121,MATCH(A495,'Respondents'!$A$2:$A$121,0))</x:f>
        <x:v>4</x:v>
      </x:c>
    </x:row>
    <x:row r="496">
      <x:c r="A496" s="14" t="n">
        <x:v>99</x:v>
      </x:c>
      <x:c r="B496" s="14" t="n">
        <x:v>5</x:v>
      </x:c>
      <x:c r="C496" s="14" t="n">
        <x:v>1</x:v>
      </x:c>
      <x:c r="D496" s="15" t="n">
        <x:f>IF(AND(C496=1,INDEX('Respondents'!$C$2:$C$121,MATCH(A496,'Respondents'!$A$2:$A$121,0))&gt;=INDEX('Strategies'!$C$2:$C$6,MATCH(B496,'Strategies'!$A$2:$A$6,0))),1,0)</x:f>
        <x:v>0</x:v>
      </x:c>
      <x:c r="E496" s="15" t="n">
        <x:f>INDEX('Respondents'!$B$2:$B$121,MATCH(A496,'Respondents'!$A$2:$A$121,0))</x:f>
        <x:v>4</x:v>
      </x:c>
    </x:row>
    <x:row r="497">
      <x:c r="A497" s="14" t="n">
        <x:v>100</x:v>
      </x:c>
      <x:c r="B497" s="14" t="n">
        <x:v>1</x:v>
      </x:c>
      <x:c r="C497" s="14" t="n">
        <x:v>0</x:v>
      </x:c>
      <x:c r="D497" s="15" t="n">
        <x:f>IF(AND(C497=1,INDEX('Respondents'!$C$2:$C$121,MATCH(A497,'Respondents'!$A$2:$A$121,0))&gt;=INDEX('Strategies'!$C$2:$C$6,MATCH(B497,'Strategies'!$A$2:$A$6,0))),1,0)</x:f>
        <x:v>0</x:v>
      </x:c>
      <x:c r="E497" s="15" t="n">
        <x:f>INDEX('Respondents'!$B$2:$B$121,MATCH(A497,'Respondents'!$A$2:$A$121,0))</x:f>
        <x:v>4</x:v>
      </x:c>
    </x:row>
    <x:row r="498">
      <x:c r="A498" s="14" t="n">
        <x:v>100</x:v>
      </x:c>
      <x:c r="B498" s="14" t="n">
        <x:v>2</x:v>
      </x:c>
      <x:c r="C498" s="14" t="n">
        <x:v>1</x:v>
      </x:c>
      <x:c r="D498" s="15" t="n">
        <x:f>IF(AND(C498=1,INDEX('Respondents'!$C$2:$C$121,MATCH(A498,'Respondents'!$A$2:$A$121,0))&gt;=INDEX('Strategies'!$C$2:$C$6,MATCH(B498,'Strategies'!$A$2:$A$6,0))),1,0)</x:f>
        <x:v>0</x:v>
      </x:c>
      <x:c r="E498" s="15" t="n">
        <x:f>INDEX('Respondents'!$B$2:$B$121,MATCH(A498,'Respondents'!$A$2:$A$121,0))</x:f>
        <x:v>4</x:v>
      </x:c>
    </x:row>
    <x:row r="499">
      <x:c r="A499" s="14" t="n">
        <x:v>100</x:v>
      </x:c>
      <x:c r="B499" s="14" t="n">
        <x:v>3</x:v>
      </x:c>
      <x:c r="C499" s="14" t="n">
        <x:v>0</x:v>
      </x:c>
      <x:c r="D499" s="15" t="n">
        <x:f>IF(AND(C499=1,INDEX('Respondents'!$C$2:$C$121,MATCH(A499,'Respondents'!$A$2:$A$121,0))&gt;=INDEX('Strategies'!$C$2:$C$6,MATCH(B499,'Strategies'!$A$2:$A$6,0))),1,0)</x:f>
        <x:v>0</x:v>
      </x:c>
      <x:c r="E499" s="15" t="n">
        <x:f>INDEX('Respondents'!$B$2:$B$121,MATCH(A499,'Respondents'!$A$2:$A$121,0))</x:f>
        <x:v>4</x:v>
      </x:c>
    </x:row>
    <x:row r="500">
      <x:c r="A500" s="14" t="n">
        <x:v>100</x:v>
      </x:c>
      <x:c r="B500" s="14" t="n">
        <x:v>4</x:v>
      </x:c>
      <x:c r="C500" s="14" t="n">
        <x:v>1</x:v>
      </x:c>
      <x:c r="D500" s="15" t="n">
        <x:f>IF(AND(C500=1,INDEX('Respondents'!$C$2:$C$121,MATCH(A500,'Respondents'!$A$2:$A$121,0))&gt;=INDEX('Strategies'!$C$2:$C$6,MATCH(B500,'Strategies'!$A$2:$A$6,0))),1,0)</x:f>
        <x:v>0</x:v>
      </x:c>
      <x:c r="E500" s="15" t="n">
        <x:f>INDEX('Respondents'!$B$2:$B$121,MATCH(A500,'Respondents'!$A$2:$A$121,0))</x:f>
        <x:v>4</x:v>
      </x:c>
    </x:row>
    <x:row r="501">
      <x:c r="A501" s="14" t="n">
        <x:v>100</x:v>
      </x:c>
      <x:c r="B501" s="14" t="n">
        <x:v>5</x:v>
      </x:c>
      <x:c r="C501" s="14" t="n">
        <x:v>1</x:v>
      </x:c>
      <x:c r="D501" s="15" t="n">
        <x:f>IF(AND(C501=1,INDEX('Respondents'!$C$2:$C$121,MATCH(A501,'Respondents'!$A$2:$A$121,0))&gt;=INDEX('Strategies'!$C$2:$C$6,MATCH(B501,'Strategies'!$A$2:$A$6,0))),1,0)</x:f>
        <x:v>0</x:v>
      </x:c>
      <x:c r="E501" s="15" t="n">
        <x:f>INDEX('Respondents'!$B$2:$B$121,MATCH(A501,'Respondents'!$A$2:$A$121,0))</x:f>
        <x:v>4</x:v>
      </x:c>
    </x:row>
    <x:row r="502">
      <x:c r="A502" s="14" t="n">
        <x:v>101</x:v>
      </x:c>
      <x:c r="B502" s="14" t="n">
        <x:v>1</x:v>
      </x:c>
      <x:c r="C502" s="14" t="n">
        <x:v>1</x:v>
      </x:c>
      <x:c r="D502" s="15" t="n">
        <x:f>IF(AND(C502=1,INDEX('Respondents'!$C$2:$C$121,MATCH(A502,'Respondents'!$A$2:$A$121,0))&gt;=INDEX('Strategies'!$C$2:$C$6,MATCH(B502,'Strategies'!$A$2:$A$6,0))),1,0)</x:f>
        <x:v>0</x:v>
      </x:c>
      <x:c r="E502" s="15" t="n">
        <x:f>INDEX('Respondents'!$B$2:$B$121,MATCH(A502,'Respondents'!$A$2:$A$121,0))</x:f>
        <x:v>4</x:v>
      </x:c>
    </x:row>
    <x:row r="503">
      <x:c r="A503" s="14" t="n">
        <x:v>101</x:v>
      </x:c>
      <x:c r="B503" s="14" t="n">
        <x:v>2</x:v>
      </x:c>
      <x:c r="C503" s="14" t="n">
        <x:v>1</x:v>
      </x:c>
      <x:c r="D503" s="15" t="n">
        <x:f>IF(AND(C503=1,INDEX('Respondents'!$C$2:$C$121,MATCH(A503,'Respondents'!$A$2:$A$121,0))&gt;=INDEX('Strategies'!$C$2:$C$6,MATCH(B503,'Strategies'!$A$2:$A$6,0))),1,0)</x:f>
        <x:v>0</x:v>
      </x:c>
      <x:c r="E503" s="15" t="n">
        <x:f>INDEX('Respondents'!$B$2:$B$121,MATCH(A503,'Respondents'!$A$2:$A$121,0))</x:f>
        <x:v>4</x:v>
      </x:c>
    </x:row>
    <x:row r="504">
      <x:c r="A504" s="14" t="n">
        <x:v>101</x:v>
      </x:c>
      <x:c r="B504" s="14" t="n">
        <x:v>3</x:v>
      </x:c>
      <x:c r="C504" s="14" t="n">
        <x:v>1</x:v>
      </x:c>
      <x:c r="D504" s="15" t="n">
        <x:f>IF(AND(C504=1,INDEX('Respondents'!$C$2:$C$121,MATCH(A504,'Respondents'!$A$2:$A$121,0))&gt;=INDEX('Strategies'!$C$2:$C$6,MATCH(B504,'Strategies'!$A$2:$A$6,0))),1,0)</x:f>
        <x:v>0</x:v>
      </x:c>
      <x:c r="E504" s="15" t="n">
        <x:f>INDEX('Respondents'!$B$2:$B$121,MATCH(A504,'Respondents'!$A$2:$A$121,0))</x:f>
        <x:v>4</x:v>
      </x:c>
    </x:row>
    <x:row r="505">
      <x:c r="A505" s="14" t="n">
        <x:v>101</x:v>
      </x:c>
      <x:c r="B505" s="14" t="n">
        <x:v>4</x:v>
      </x:c>
      <x:c r="C505" s="14" t="n">
        <x:v>1</x:v>
      </x:c>
      <x:c r="D505" s="15" t="n">
        <x:f>IF(AND(C505=1,INDEX('Respondents'!$C$2:$C$121,MATCH(A505,'Respondents'!$A$2:$A$121,0))&gt;=INDEX('Strategies'!$C$2:$C$6,MATCH(B505,'Strategies'!$A$2:$A$6,0))),1,0)</x:f>
        <x:v>0</x:v>
      </x:c>
      <x:c r="E505" s="15" t="n">
        <x:f>INDEX('Respondents'!$B$2:$B$121,MATCH(A505,'Respondents'!$A$2:$A$121,0))</x:f>
        <x:v>4</x:v>
      </x:c>
    </x:row>
    <x:row r="506">
      <x:c r="A506" s="14" t="n">
        <x:v>101</x:v>
      </x:c>
      <x:c r="B506" s="14" t="n">
        <x:v>5</x:v>
      </x:c>
      <x:c r="C506" s="14" t="n">
        <x:v>1</x:v>
      </x:c>
      <x:c r="D506" s="15" t="n">
        <x:f>IF(AND(C506=1,INDEX('Respondents'!$C$2:$C$121,MATCH(A506,'Respondents'!$A$2:$A$121,0))&gt;=INDEX('Strategies'!$C$2:$C$6,MATCH(B506,'Strategies'!$A$2:$A$6,0))),1,0)</x:f>
        <x:v>0</x:v>
      </x:c>
      <x:c r="E506" s="15" t="n">
        <x:f>INDEX('Respondents'!$B$2:$B$121,MATCH(A506,'Respondents'!$A$2:$A$121,0))</x:f>
        <x:v>4</x:v>
      </x:c>
    </x:row>
    <x:row r="507">
      <x:c r="A507" s="14" t="n">
        <x:v>102</x:v>
      </x:c>
      <x:c r="B507" s="14" t="n">
        <x:v>1</x:v>
      </x:c>
      <x:c r="C507" s="14" t="n">
        <x:v>1</x:v>
      </x:c>
      <x:c r="D507" s="15" t="n">
        <x:f>IF(AND(C507=1,INDEX('Respondents'!$C$2:$C$121,MATCH(A507,'Respondents'!$A$2:$A$121,0))&gt;=INDEX('Strategies'!$C$2:$C$6,MATCH(B507,'Strategies'!$A$2:$A$6,0))),1,0)</x:f>
        <x:v>0</x:v>
      </x:c>
      <x:c r="E507" s="15" t="n">
        <x:f>INDEX('Respondents'!$B$2:$B$121,MATCH(A507,'Respondents'!$A$2:$A$121,0))</x:f>
        <x:v>4</x:v>
      </x:c>
    </x:row>
    <x:row r="508">
      <x:c r="A508" s="14" t="n">
        <x:v>102</x:v>
      </x:c>
      <x:c r="B508" s="14" t="n">
        <x:v>2</x:v>
      </x:c>
      <x:c r="C508" s="14" t="n">
        <x:v>1</x:v>
      </x:c>
      <x:c r="D508" s="15" t="n">
        <x:f>IF(AND(C508=1,INDEX('Respondents'!$C$2:$C$121,MATCH(A508,'Respondents'!$A$2:$A$121,0))&gt;=INDEX('Strategies'!$C$2:$C$6,MATCH(B508,'Strategies'!$A$2:$A$6,0))),1,0)</x:f>
        <x:v>1</x:v>
      </x:c>
      <x:c r="E508" s="15" t="n">
        <x:f>INDEX('Respondents'!$B$2:$B$121,MATCH(A508,'Respondents'!$A$2:$A$121,0))</x:f>
        <x:v>4</x:v>
      </x:c>
    </x:row>
    <x:row r="509">
      <x:c r="A509" s="14" t="n">
        <x:v>102</x:v>
      </x:c>
      <x:c r="B509" s="14" t="n">
        <x:v>3</x:v>
      </x:c>
      <x:c r="C509" s="14" t="n">
        <x:v>1</x:v>
      </x:c>
      <x:c r="D509" s="15" t="n">
        <x:f>IF(AND(C509=1,INDEX('Respondents'!$C$2:$C$121,MATCH(A509,'Respondents'!$A$2:$A$121,0))&gt;=INDEX('Strategies'!$C$2:$C$6,MATCH(B509,'Strategies'!$A$2:$A$6,0))),1,0)</x:f>
        <x:v>0</x:v>
      </x:c>
      <x:c r="E509" s="15" t="n">
        <x:f>INDEX('Respondents'!$B$2:$B$121,MATCH(A509,'Respondents'!$A$2:$A$121,0))</x:f>
        <x:v>4</x:v>
      </x:c>
    </x:row>
    <x:row r="510">
      <x:c r="A510" s="14" t="n">
        <x:v>102</x:v>
      </x:c>
      <x:c r="B510" s="14" t="n">
        <x:v>4</x:v>
      </x:c>
      <x:c r="C510" s="14" t="n">
        <x:v>1</x:v>
      </x:c>
      <x:c r="D510" s="15" t="n">
        <x:f>IF(AND(C510=1,INDEX('Respondents'!$C$2:$C$121,MATCH(A510,'Respondents'!$A$2:$A$121,0))&gt;=INDEX('Strategies'!$C$2:$C$6,MATCH(B510,'Strategies'!$A$2:$A$6,0))),1,0)</x:f>
        <x:v>1</x:v>
      </x:c>
      <x:c r="E510" s="15" t="n">
        <x:f>INDEX('Respondents'!$B$2:$B$121,MATCH(A510,'Respondents'!$A$2:$A$121,0))</x:f>
        <x:v>4</x:v>
      </x:c>
    </x:row>
    <x:row r="511">
      <x:c r="A511" s="14" t="n">
        <x:v>102</x:v>
      </x:c>
      <x:c r="B511" s="14" t="n">
        <x:v>5</x:v>
      </x:c>
      <x:c r="C511" s="14" t="n">
        <x:v>1</x:v>
      </x:c>
      <x:c r="D511" s="15" t="n">
        <x:f>IF(AND(C511=1,INDEX('Respondents'!$C$2:$C$121,MATCH(A511,'Respondents'!$A$2:$A$121,0))&gt;=INDEX('Strategies'!$C$2:$C$6,MATCH(B511,'Strategies'!$A$2:$A$6,0))),1,0)</x:f>
        <x:v>0</x:v>
      </x:c>
      <x:c r="E511" s="15" t="n">
        <x:f>INDEX('Respondents'!$B$2:$B$121,MATCH(A511,'Respondents'!$A$2:$A$121,0))</x:f>
        <x:v>4</x:v>
      </x:c>
    </x:row>
    <x:row r="512">
      <x:c r="A512" s="14" t="n">
        <x:v>103</x:v>
      </x:c>
      <x:c r="B512" s="14" t="n">
        <x:v>1</x:v>
      </x:c>
      <x:c r="C512" s="14" t="n">
        <x:v>1</x:v>
      </x:c>
      <x:c r="D512" s="15" t="n">
        <x:f>IF(AND(C512=1,INDEX('Respondents'!$C$2:$C$121,MATCH(A512,'Respondents'!$A$2:$A$121,0))&gt;=INDEX('Strategies'!$C$2:$C$6,MATCH(B512,'Strategies'!$A$2:$A$6,0))),1,0)</x:f>
        <x:v>0</x:v>
      </x:c>
      <x:c r="E512" s="15" t="n">
        <x:f>INDEX('Respondents'!$B$2:$B$121,MATCH(A512,'Respondents'!$A$2:$A$121,0))</x:f>
        <x:v>4</x:v>
      </x:c>
    </x:row>
    <x:row r="513">
      <x:c r="A513" s="14" t="n">
        <x:v>103</x:v>
      </x:c>
      <x:c r="B513" s="14" t="n">
        <x:v>2</x:v>
      </x:c>
      <x:c r="C513" s="14" t="n">
        <x:v>1</x:v>
      </x:c>
      <x:c r="D513" s="15" t="n">
        <x:f>IF(AND(C513=1,INDEX('Respondents'!$C$2:$C$121,MATCH(A513,'Respondents'!$A$2:$A$121,0))&gt;=INDEX('Strategies'!$C$2:$C$6,MATCH(B513,'Strategies'!$A$2:$A$6,0))),1,0)</x:f>
        <x:v>0</x:v>
      </x:c>
      <x:c r="E513" s="15" t="n">
        <x:f>INDEX('Respondents'!$B$2:$B$121,MATCH(A513,'Respondents'!$A$2:$A$121,0))</x:f>
        <x:v>4</x:v>
      </x:c>
    </x:row>
    <x:row r="514">
      <x:c r="A514" s="14" t="n">
        <x:v>103</x:v>
      </x:c>
      <x:c r="B514" s="14" t="n">
        <x:v>3</x:v>
      </x:c>
      <x:c r="C514" s="14" t="n">
        <x:v>0</x:v>
      </x:c>
      <x:c r="D514" s="15" t="n">
        <x:f>IF(AND(C514=1,INDEX('Respondents'!$C$2:$C$121,MATCH(A514,'Respondents'!$A$2:$A$121,0))&gt;=INDEX('Strategies'!$C$2:$C$6,MATCH(B514,'Strategies'!$A$2:$A$6,0))),1,0)</x:f>
        <x:v>0</x:v>
      </x:c>
      <x:c r="E514" s="15" t="n">
        <x:f>INDEX('Respondents'!$B$2:$B$121,MATCH(A514,'Respondents'!$A$2:$A$121,0))</x:f>
        <x:v>4</x:v>
      </x:c>
    </x:row>
    <x:row r="515">
      <x:c r="A515" s="14" t="n">
        <x:v>103</x:v>
      </x:c>
      <x:c r="B515" s="14" t="n">
        <x:v>4</x:v>
      </x:c>
      <x:c r="C515" s="14" t="n">
        <x:v>1</x:v>
      </x:c>
      <x:c r="D515" s="15" t="n">
        <x:f>IF(AND(C515=1,INDEX('Respondents'!$C$2:$C$121,MATCH(A515,'Respondents'!$A$2:$A$121,0))&gt;=INDEX('Strategies'!$C$2:$C$6,MATCH(B515,'Strategies'!$A$2:$A$6,0))),1,0)</x:f>
        <x:v>0</x:v>
      </x:c>
      <x:c r="E515" s="15" t="n">
        <x:f>INDEX('Respondents'!$B$2:$B$121,MATCH(A515,'Respondents'!$A$2:$A$121,0))</x:f>
        <x:v>4</x:v>
      </x:c>
    </x:row>
    <x:row r="516">
      <x:c r="A516" s="14" t="n">
        <x:v>103</x:v>
      </x:c>
      <x:c r="B516" s="14" t="n">
        <x:v>5</x:v>
      </x:c>
      <x:c r="C516" s="14" t="n">
        <x:v>1</x:v>
      </x:c>
      <x:c r="D516" s="15" t="n">
        <x:f>IF(AND(C516=1,INDEX('Respondents'!$C$2:$C$121,MATCH(A516,'Respondents'!$A$2:$A$121,0))&gt;=INDEX('Strategies'!$C$2:$C$6,MATCH(B516,'Strategies'!$A$2:$A$6,0))),1,0)</x:f>
        <x:v>0</x:v>
      </x:c>
      <x:c r="E516" s="15" t="n">
        <x:f>INDEX('Respondents'!$B$2:$B$121,MATCH(A516,'Respondents'!$A$2:$A$121,0))</x:f>
        <x:v>4</x:v>
      </x:c>
    </x:row>
    <x:row r="517">
      <x:c r="A517" s="14" t="n">
        <x:v>104</x:v>
      </x:c>
      <x:c r="B517" s="14" t="n">
        <x:v>1</x:v>
      </x:c>
      <x:c r="C517" s="14" t="n">
        <x:v>1</x:v>
      </x:c>
      <x:c r="D517" s="15" t="n">
        <x:f>IF(AND(C517=1,INDEX('Respondents'!$C$2:$C$121,MATCH(A517,'Respondents'!$A$2:$A$121,0))&gt;=INDEX('Strategies'!$C$2:$C$6,MATCH(B517,'Strategies'!$A$2:$A$6,0))),1,0)</x:f>
        <x:v>0</x:v>
      </x:c>
      <x:c r="E517" s="15" t="n">
        <x:f>INDEX('Respondents'!$B$2:$B$121,MATCH(A517,'Respondents'!$A$2:$A$121,0))</x:f>
        <x:v>4</x:v>
      </x:c>
    </x:row>
    <x:row r="518">
      <x:c r="A518" s="14" t="n">
        <x:v>104</x:v>
      </x:c>
      <x:c r="B518" s="14" t="n">
        <x:v>2</x:v>
      </x:c>
      <x:c r="C518" s="14" t="n">
        <x:v>0</x:v>
      </x:c>
      <x:c r="D518" s="15" t="n">
        <x:f>IF(AND(C518=1,INDEX('Respondents'!$C$2:$C$121,MATCH(A518,'Respondents'!$A$2:$A$121,0))&gt;=INDEX('Strategies'!$C$2:$C$6,MATCH(B518,'Strategies'!$A$2:$A$6,0))),1,0)</x:f>
        <x:v>0</x:v>
      </x:c>
      <x:c r="E518" s="15" t="n">
        <x:f>INDEX('Respondents'!$B$2:$B$121,MATCH(A518,'Respondents'!$A$2:$A$121,0))</x:f>
        <x:v>4</x:v>
      </x:c>
    </x:row>
    <x:row r="519">
      <x:c r="A519" s="14" t="n">
        <x:v>104</x:v>
      </x:c>
      <x:c r="B519" s="14" t="n">
        <x:v>3</x:v>
      </x:c>
      <x:c r="C519" s="14" t="n">
        <x:v>1</x:v>
      </x:c>
      <x:c r="D519" s="15" t="n">
        <x:f>IF(AND(C519=1,INDEX('Respondents'!$C$2:$C$121,MATCH(A519,'Respondents'!$A$2:$A$121,0))&gt;=INDEX('Strategies'!$C$2:$C$6,MATCH(B519,'Strategies'!$A$2:$A$6,0))),1,0)</x:f>
        <x:v>0</x:v>
      </x:c>
      <x:c r="E519" s="15" t="n">
        <x:f>INDEX('Respondents'!$B$2:$B$121,MATCH(A519,'Respondents'!$A$2:$A$121,0))</x:f>
        <x:v>4</x:v>
      </x:c>
    </x:row>
    <x:row r="520">
      <x:c r="A520" s="14" t="n">
        <x:v>104</x:v>
      </x:c>
      <x:c r="B520" s="14" t="n">
        <x:v>4</x:v>
      </x:c>
      <x:c r="C520" s="14" t="n">
        <x:v>1</x:v>
      </x:c>
      <x:c r="D520" s="15" t="n">
        <x:f>IF(AND(C520=1,INDEX('Respondents'!$C$2:$C$121,MATCH(A520,'Respondents'!$A$2:$A$121,0))&gt;=INDEX('Strategies'!$C$2:$C$6,MATCH(B520,'Strategies'!$A$2:$A$6,0))),1,0)</x:f>
        <x:v>0</x:v>
      </x:c>
      <x:c r="E520" s="15" t="n">
        <x:f>INDEX('Respondents'!$B$2:$B$121,MATCH(A520,'Respondents'!$A$2:$A$121,0))</x:f>
        <x:v>4</x:v>
      </x:c>
    </x:row>
    <x:row r="521">
      <x:c r="A521" s="14" t="n">
        <x:v>104</x:v>
      </x:c>
      <x:c r="B521" s="14" t="n">
        <x:v>5</x:v>
      </x:c>
      <x:c r="C521" s="14" t="n">
        <x:v>1</x:v>
      </x:c>
      <x:c r="D521" s="15" t="n">
        <x:f>IF(AND(C521=1,INDEX('Respondents'!$C$2:$C$121,MATCH(A521,'Respondents'!$A$2:$A$121,0))&gt;=INDEX('Strategies'!$C$2:$C$6,MATCH(B521,'Strategies'!$A$2:$A$6,0))),1,0)</x:f>
        <x:v>0</x:v>
      </x:c>
      <x:c r="E521" s="15" t="n">
        <x:f>INDEX('Respondents'!$B$2:$B$121,MATCH(A521,'Respondents'!$A$2:$A$121,0))</x:f>
        <x:v>4</x:v>
      </x:c>
    </x:row>
    <x:row r="522">
      <x:c r="A522" s="14" t="n">
        <x:v>105</x:v>
      </x:c>
      <x:c r="B522" s="14" t="n">
        <x:v>1</x:v>
      </x:c>
      <x:c r="C522" s="14" t="n">
        <x:v>1</x:v>
      </x:c>
      <x:c r="D522" s="15" t="n">
        <x:f>IF(AND(C522=1,INDEX('Respondents'!$C$2:$C$121,MATCH(A522,'Respondents'!$A$2:$A$121,0))&gt;=INDEX('Strategies'!$C$2:$C$6,MATCH(B522,'Strategies'!$A$2:$A$6,0))),1,0)</x:f>
        <x:v>0</x:v>
      </x:c>
      <x:c r="E522" s="15" t="n">
        <x:f>INDEX('Respondents'!$B$2:$B$121,MATCH(A522,'Respondents'!$A$2:$A$121,0))</x:f>
        <x:v>4</x:v>
      </x:c>
    </x:row>
    <x:row r="523">
      <x:c r="A523" s="14" t="n">
        <x:v>105</x:v>
      </x:c>
      <x:c r="B523" s="14" t="n">
        <x:v>2</x:v>
      </x:c>
      <x:c r="C523" s="14" t="n">
        <x:v>1</x:v>
      </x:c>
      <x:c r="D523" s="15" t="n">
        <x:f>IF(AND(C523=1,INDEX('Respondents'!$C$2:$C$121,MATCH(A523,'Respondents'!$A$2:$A$121,0))&gt;=INDEX('Strategies'!$C$2:$C$6,MATCH(B523,'Strategies'!$A$2:$A$6,0))),1,0)</x:f>
        <x:v>0</x:v>
      </x:c>
      <x:c r="E523" s="15" t="n">
        <x:f>INDEX('Respondents'!$B$2:$B$121,MATCH(A523,'Respondents'!$A$2:$A$121,0))</x:f>
        <x:v>4</x:v>
      </x:c>
    </x:row>
    <x:row r="524">
      <x:c r="A524" s="14" t="n">
        <x:v>105</x:v>
      </x:c>
      <x:c r="B524" s="14" t="n">
        <x:v>3</x:v>
      </x:c>
      <x:c r="C524" s="14" t="n">
        <x:v>1</x:v>
      </x:c>
      <x:c r="D524" s="15" t="n">
        <x:f>IF(AND(C524=1,INDEX('Respondents'!$C$2:$C$121,MATCH(A524,'Respondents'!$A$2:$A$121,0))&gt;=INDEX('Strategies'!$C$2:$C$6,MATCH(B524,'Strategies'!$A$2:$A$6,0))),1,0)</x:f>
        <x:v>0</x:v>
      </x:c>
      <x:c r="E524" s="15" t="n">
        <x:f>INDEX('Respondents'!$B$2:$B$121,MATCH(A524,'Respondents'!$A$2:$A$121,0))</x:f>
        <x:v>4</x:v>
      </x:c>
    </x:row>
    <x:row r="525">
      <x:c r="A525" s="14" t="n">
        <x:v>105</x:v>
      </x:c>
      <x:c r="B525" s="14" t="n">
        <x:v>4</x:v>
      </x:c>
      <x:c r="C525" s="14" t="n">
        <x:v>1</x:v>
      </x:c>
      <x:c r="D525" s="15" t="n">
        <x:f>IF(AND(C525=1,INDEX('Respondents'!$C$2:$C$121,MATCH(A525,'Respondents'!$A$2:$A$121,0))&gt;=INDEX('Strategies'!$C$2:$C$6,MATCH(B525,'Strategies'!$A$2:$A$6,0))),1,0)</x:f>
        <x:v>0</x:v>
      </x:c>
      <x:c r="E525" s="15" t="n">
        <x:f>INDEX('Respondents'!$B$2:$B$121,MATCH(A525,'Respondents'!$A$2:$A$121,0))</x:f>
        <x:v>4</x:v>
      </x:c>
    </x:row>
    <x:row r="526">
      <x:c r="A526" s="14" t="n">
        <x:v>105</x:v>
      </x:c>
      <x:c r="B526" s="14" t="n">
        <x:v>5</x:v>
      </x:c>
      <x:c r="C526" s="14" t="n">
        <x:v>1</x:v>
      </x:c>
      <x:c r="D526" s="15" t="n">
        <x:f>IF(AND(C526=1,INDEX('Respondents'!$C$2:$C$121,MATCH(A526,'Respondents'!$A$2:$A$121,0))&gt;=INDEX('Strategies'!$C$2:$C$6,MATCH(B526,'Strategies'!$A$2:$A$6,0))),1,0)</x:f>
        <x:v>0</x:v>
      </x:c>
      <x:c r="E526" s="15" t="n">
        <x:f>INDEX('Respondents'!$B$2:$B$121,MATCH(A526,'Respondents'!$A$2:$A$121,0))</x:f>
        <x:v>4</x:v>
      </x:c>
    </x:row>
    <x:row r="527">
      <x:c r="A527" s="14" t="n">
        <x:v>106</x:v>
      </x:c>
      <x:c r="B527" s="14" t="n">
        <x:v>1</x:v>
      </x:c>
      <x:c r="C527" s="14" t="n">
        <x:v>0</x:v>
      </x:c>
      <x:c r="D527" s="15" t="n">
        <x:f>IF(AND(C527=1,INDEX('Respondents'!$C$2:$C$121,MATCH(A527,'Respondents'!$A$2:$A$121,0))&gt;=INDEX('Strategies'!$C$2:$C$6,MATCH(B527,'Strategies'!$A$2:$A$6,0))),1,0)</x:f>
        <x:v>0</x:v>
      </x:c>
      <x:c r="E527" s="15" t="n">
        <x:f>INDEX('Respondents'!$B$2:$B$121,MATCH(A527,'Respondents'!$A$2:$A$121,0))</x:f>
        <x:v>4</x:v>
      </x:c>
    </x:row>
    <x:row r="528">
      <x:c r="A528" s="14" t="n">
        <x:v>106</x:v>
      </x:c>
      <x:c r="B528" s="14" t="n">
        <x:v>2</x:v>
      </x:c>
      <x:c r="C528" s="14" t="n">
        <x:v>1</x:v>
      </x:c>
      <x:c r="D528" s="15" t="n">
        <x:f>IF(AND(C528=1,INDEX('Respondents'!$C$2:$C$121,MATCH(A528,'Respondents'!$A$2:$A$121,0))&gt;=INDEX('Strategies'!$C$2:$C$6,MATCH(B528,'Strategies'!$A$2:$A$6,0))),1,0)</x:f>
        <x:v>0</x:v>
      </x:c>
      <x:c r="E528" s="15" t="n">
        <x:f>INDEX('Respondents'!$B$2:$B$121,MATCH(A528,'Respondents'!$A$2:$A$121,0))</x:f>
        <x:v>4</x:v>
      </x:c>
    </x:row>
    <x:row r="529">
      <x:c r="A529" s="14" t="n">
        <x:v>106</x:v>
      </x:c>
      <x:c r="B529" s="14" t="n">
        <x:v>3</x:v>
      </x:c>
      <x:c r="C529" s="14" t="n">
        <x:v>0</x:v>
      </x:c>
      <x:c r="D529" s="15" t="n">
        <x:f>IF(AND(C529=1,INDEX('Respondents'!$C$2:$C$121,MATCH(A529,'Respondents'!$A$2:$A$121,0))&gt;=INDEX('Strategies'!$C$2:$C$6,MATCH(B529,'Strategies'!$A$2:$A$6,0))),1,0)</x:f>
        <x:v>0</x:v>
      </x:c>
      <x:c r="E529" s="15" t="n">
        <x:f>INDEX('Respondents'!$B$2:$B$121,MATCH(A529,'Respondents'!$A$2:$A$121,0))</x:f>
        <x:v>4</x:v>
      </x:c>
    </x:row>
    <x:row r="530">
      <x:c r="A530" s="14" t="n">
        <x:v>106</x:v>
      </x:c>
      <x:c r="B530" s="14" t="n">
        <x:v>4</x:v>
      </x:c>
      <x:c r="C530" s="14" t="n">
        <x:v>1</x:v>
      </x:c>
      <x:c r="D530" s="15" t="n">
        <x:f>IF(AND(C530=1,INDEX('Respondents'!$C$2:$C$121,MATCH(A530,'Respondents'!$A$2:$A$121,0))&gt;=INDEX('Strategies'!$C$2:$C$6,MATCH(B530,'Strategies'!$A$2:$A$6,0))),1,0)</x:f>
        <x:v>0</x:v>
      </x:c>
      <x:c r="E530" s="15" t="n">
        <x:f>INDEX('Respondents'!$B$2:$B$121,MATCH(A530,'Respondents'!$A$2:$A$121,0))</x:f>
        <x:v>4</x:v>
      </x:c>
    </x:row>
    <x:row r="531">
      <x:c r="A531" s="14" t="n">
        <x:v>106</x:v>
      </x:c>
      <x:c r="B531" s="14" t="n">
        <x:v>5</x:v>
      </x:c>
      <x:c r="C531" s="14" t="n">
        <x:v>1</x:v>
      </x:c>
      <x:c r="D531" s="15" t="n">
        <x:f>IF(AND(C531=1,INDEX('Respondents'!$C$2:$C$121,MATCH(A531,'Respondents'!$A$2:$A$121,0))&gt;=INDEX('Strategies'!$C$2:$C$6,MATCH(B531,'Strategies'!$A$2:$A$6,0))),1,0)</x:f>
        <x:v>0</x:v>
      </x:c>
      <x:c r="E531" s="15" t="n">
        <x:f>INDEX('Respondents'!$B$2:$B$121,MATCH(A531,'Respondents'!$A$2:$A$121,0))</x:f>
        <x:v>4</x:v>
      </x:c>
    </x:row>
    <x:row r="532">
      <x:c r="A532" s="14" t="n">
        <x:v>107</x:v>
      </x:c>
      <x:c r="B532" s="14" t="n">
        <x:v>1</x:v>
      </x:c>
      <x:c r="C532" s="14" t="n">
        <x:v>1</x:v>
      </x:c>
      <x:c r="D532" s="15" t="n">
        <x:f>IF(AND(C532=1,INDEX('Respondents'!$C$2:$C$121,MATCH(A532,'Respondents'!$A$2:$A$121,0))&gt;=INDEX('Strategies'!$C$2:$C$6,MATCH(B532,'Strategies'!$A$2:$A$6,0))),1,0)</x:f>
        <x:v>0</x:v>
      </x:c>
      <x:c r="E532" s="15" t="n">
        <x:f>INDEX('Respondents'!$B$2:$B$121,MATCH(A532,'Respondents'!$A$2:$A$121,0))</x:f>
        <x:v>4</x:v>
      </x:c>
    </x:row>
    <x:row r="533">
      <x:c r="A533" s="14" t="n">
        <x:v>107</x:v>
      </x:c>
      <x:c r="B533" s="14" t="n">
        <x:v>2</x:v>
      </x:c>
      <x:c r="C533" s="14" t="n">
        <x:v>0</x:v>
      </x:c>
      <x:c r="D533" s="15" t="n">
        <x:f>IF(AND(C533=1,INDEX('Respondents'!$C$2:$C$121,MATCH(A533,'Respondents'!$A$2:$A$121,0))&gt;=INDEX('Strategies'!$C$2:$C$6,MATCH(B533,'Strategies'!$A$2:$A$6,0))),1,0)</x:f>
        <x:v>0</x:v>
      </x:c>
      <x:c r="E533" s="15" t="n">
        <x:f>INDEX('Respondents'!$B$2:$B$121,MATCH(A533,'Respondents'!$A$2:$A$121,0))</x:f>
        <x:v>4</x:v>
      </x:c>
    </x:row>
    <x:row r="534">
      <x:c r="A534" s="14" t="n">
        <x:v>107</x:v>
      </x:c>
      <x:c r="B534" s="14" t="n">
        <x:v>3</x:v>
      </x:c>
      <x:c r="C534" s="14" t="n">
        <x:v>1</x:v>
      </x:c>
      <x:c r="D534" s="15" t="n">
        <x:f>IF(AND(C534=1,INDEX('Respondents'!$C$2:$C$121,MATCH(A534,'Respondents'!$A$2:$A$121,0))&gt;=INDEX('Strategies'!$C$2:$C$6,MATCH(B534,'Strategies'!$A$2:$A$6,0))),1,0)</x:f>
        <x:v>0</x:v>
      </x:c>
      <x:c r="E534" s="15" t="n">
        <x:f>INDEX('Respondents'!$B$2:$B$121,MATCH(A534,'Respondents'!$A$2:$A$121,0))</x:f>
        <x:v>4</x:v>
      </x:c>
    </x:row>
    <x:row r="535">
      <x:c r="A535" s="14" t="n">
        <x:v>107</x:v>
      </x:c>
      <x:c r="B535" s="14" t="n">
        <x:v>4</x:v>
      </x:c>
      <x:c r="C535" s="14" t="n">
        <x:v>1</x:v>
      </x:c>
      <x:c r="D535" s="15" t="n">
        <x:f>IF(AND(C535=1,INDEX('Respondents'!$C$2:$C$121,MATCH(A535,'Respondents'!$A$2:$A$121,0))&gt;=INDEX('Strategies'!$C$2:$C$6,MATCH(B535,'Strategies'!$A$2:$A$6,0))),1,0)</x:f>
        <x:v>1</x:v>
      </x:c>
      <x:c r="E535" s="15" t="n">
        <x:f>INDEX('Respondents'!$B$2:$B$121,MATCH(A535,'Respondents'!$A$2:$A$121,0))</x:f>
        <x:v>4</x:v>
      </x:c>
    </x:row>
    <x:row r="536">
      <x:c r="A536" s="14" t="n">
        <x:v>107</x:v>
      </x:c>
      <x:c r="B536" s="14" t="n">
        <x:v>5</x:v>
      </x:c>
      <x:c r="C536" s="14" t="n">
        <x:v>0</x:v>
      </x:c>
      <x:c r="D536" s="15" t="n">
        <x:f>IF(AND(C536=1,INDEX('Respondents'!$C$2:$C$121,MATCH(A536,'Respondents'!$A$2:$A$121,0))&gt;=INDEX('Strategies'!$C$2:$C$6,MATCH(B536,'Strategies'!$A$2:$A$6,0))),1,0)</x:f>
        <x:v>0</x:v>
      </x:c>
      <x:c r="E536" s="15" t="n">
        <x:f>INDEX('Respondents'!$B$2:$B$121,MATCH(A536,'Respondents'!$A$2:$A$121,0))</x:f>
        <x:v>4</x:v>
      </x:c>
    </x:row>
    <x:row r="537">
      <x:c r="A537" s="14" t="n">
        <x:v>108</x:v>
      </x:c>
      <x:c r="B537" s="14" t="n">
        <x:v>1</x:v>
      </x:c>
      <x:c r="C537" s="14" t="n">
        <x:v>1</x:v>
      </x:c>
      <x:c r="D537" s="15" t="n">
        <x:f>IF(AND(C537=1,INDEX('Respondents'!$C$2:$C$121,MATCH(A537,'Respondents'!$A$2:$A$121,0))&gt;=INDEX('Strategies'!$C$2:$C$6,MATCH(B537,'Strategies'!$A$2:$A$6,0))),1,0)</x:f>
        <x:v>0</x:v>
      </x:c>
      <x:c r="E537" s="15" t="n">
        <x:f>INDEX('Respondents'!$B$2:$B$121,MATCH(A537,'Respondents'!$A$2:$A$121,0))</x:f>
        <x:v>4</x:v>
      </x:c>
    </x:row>
    <x:row r="538">
      <x:c r="A538" s="14" t="n">
        <x:v>108</x:v>
      </x:c>
      <x:c r="B538" s="14" t="n">
        <x:v>2</x:v>
      </x:c>
      <x:c r="C538" s="14" t="n">
        <x:v>0</x:v>
      </x:c>
      <x:c r="D538" s="15" t="n">
        <x:f>IF(AND(C538=1,INDEX('Respondents'!$C$2:$C$121,MATCH(A538,'Respondents'!$A$2:$A$121,0))&gt;=INDEX('Strategies'!$C$2:$C$6,MATCH(B538,'Strategies'!$A$2:$A$6,0))),1,0)</x:f>
        <x:v>0</x:v>
      </x:c>
      <x:c r="E538" s="15" t="n">
        <x:f>INDEX('Respondents'!$B$2:$B$121,MATCH(A538,'Respondents'!$A$2:$A$121,0))</x:f>
        <x:v>4</x:v>
      </x:c>
    </x:row>
    <x:row r="539">
      <x:c r="A539" s="14" t="n">
        <x:v>108</x:v>
      </x:c>
      <x:c r="B539" s="14" t="n">
        <x:v>3</x:v>
      </x:c>
      <x:c r="C539" s="14" t="n">
        <x:v>1</x:v>
      </x:c>
      <x:c r="D539" s="15" t="n">
        <x:f>IF(AND(C539=1,INDEX('Respondents'!$C$2:$C$121,MATCH(A539,'Respondents'!$A$2:$A$121,0))&gt;=INDEX('Strategies'!$C$2:$C$6,MATCH(B539,'Strategies'!$A$2:$A$6,0))),1,0)</x:f>
        <x:v>0</x:v>
      </x:c>
      <x:c r="E539" s="15" t="n">
        <x:f>INDEX('Respondents'!$B$2:$B$121,MATCH(A539,'Respondents'!$A$2:$A$121,0))</x:f>
        <x:v>4</x:v>
      </x:c>
    </x:row>
    <x:row r="540">
      <x:c r="A540" s="14" t="n">
        <x:v>108</x:v>
      </x:c>
      <x:c r="B540" s="14" t="n">
        <x:v>4</x:v>
      </x:c>
      <x:c r="C540" s="14" t="n">
        <x:v>1</x:v>
      </x:c>
      <x:c r="D540" s="15" t="n">
        <x:f>IF(AND(C540=1,INDEX('Respondents'!$C$2:$C$121,MATCH(A540,'Respondents'!$A$2:$A$121,0))&gt;=INDEX('Strategies'!$C$2:$C$6,MATCH(B540,'Strategies'!$A$2:$A$6,0))),1,0)</x:f>
        <x:v>0</x:v>
      </x:c>
      <x:c r="E540" s="15" t="n">
        <x:f>INDEX('Respondents'!$B$2:$B$121,MATCH(A540,'Respondents'!$A$2:$A$121,0))</x:f>
        <x:v>4</x:v>
      </x:c>
    </x:row>
    <x:row r="541">
      <x:c r="A541" s="14" t="n">
        <x:v>108</x:v>
      </x:c>
      <x:c r="B541" s="14" t="n">
        <x:v>5</x:v>
      </x:c>
      <x:c r="C541" s="14" t="n">
        <x:v>0</x:v>
      </x:c>
      <x:c r="D541" s="15" t="n">
        <x:f>IF(AND(C541=1,INDEX('Respondents'!$C$2:$C$121,MATCH(A541,'Respondents'!$A$2:$A$121,0))&gt;=INDEX('Strategies'!$C$2:$C$6,MATCH(B541,'Strategies'!$A$2:$A$6,0))),1,0)</x:f>
        <x:v>0</x:v>
      </x:c>
      <x:c r="E541" s="15" t="n">
        <x:f>INDEX('Respondents'!$B$2:$B$121,MATCH(A541,'Respondents'!$A$2:$A$121,0))</x:f>
        <x:v>4</x:v>
      </x:c>
    </x:row>
    <x:row r="542">
      <x:c r="A542" s="14" t="n">
        <x:v>109</x:v>
      </x:c>
      <x:c r="B542" s="14" t="n">
        <x:v>1</x:v>
      </x:c>
      <x:c r="C542" s="14" t="n">
        <x:v>0</x:v>
      </x:c>
      <x:c r="D542" s="15" t="n">
        <x:f>IF(AND(C542=1,INDEX('Respondents'!$C$2:$C$121,MATCH(A542,'Respondents'!$A$2:$A$121,0))&gt;=INDEX('Strategies'!$C$2:$C$6,MATCH(B542,'Strategies'!$A$2:$A$6,0))),1,0)</x:f>
        <x:v>0</x:v>
      </x:c>
      <x:c r="E542" s="15" t="n">
        <x:f>INDEX('Respondents'!$B$2:$B$121,MATCH(A542,'Respondents'!$A$2:$A$121,0))</x:f>
        <x:v>4</x:v>
      </x:c>
    </x:row>
    <x:row r="543">
      <x:c r="A543" s="14" t="n">
        <x:v>109</x:v>
      </x:c>
      <x:c r="B543" s="14" t="n">
        <x:v>2</x:v>
      </x:c>
      <x:c r="C543" s="14" t="n">
        <x:v>0</x:v>
      </x:c>
      <x:c r="D543" s="15" t="n">
        <x:f>IF(AND(C543=1,INDEX('Respondents'!$C$2:$C$121,MATCH(A543,'Respondents'!$A$2:$A$121,0))&gt;=INDEX('Strategies'!$C$2:$C$6,MATCH(B543,'Strategies'!$A$2:$A$6,0))),1,0)</x:f>
        <x:v>0</x:v>
      </x:c>
      <x:c r="E543" s="15" t="n">
        <x:f>INDEX('Respondents'!$B$2:$B$121,MATCH(A543,'Respondents'!$A$2:$A$121,0))</x:f>
        <x:v>4</x:v>
      </x:c>
    </x:row>
    <x:row r="544">
      <x:c r="A544" s="14" t="n">
        <x:v>109</x:v>
      </x:c>
      <x:c r="B544" s="14" t="n">
        <x:v>3</x:v>
      </x:c>
      <x:c r="C544" s="14" t="n">
        <x:v>0</x:v>
      </x:c>
      <x:c r="D544" s="15" t="n">
        <x:f>IF(AND(C544=1,INDEX('Respondents'!$C$2:$C$121,MATCH(A544,'Respondents'!$A$2:$A$121,0))&gt;=INDEX('Strategies'!$C$2:$C$6,MATCH(B544,'Strategies'!$A$2:$A$6,0))),1,0)</x:f>
        <x:v>0</x:v>
      </x:c>
      <x:c r="E544" s="15" t="n">
        <x:f>INDEX('Respondents'!$B$2:$B$121,MATCH(A544,'Respondents'!$A$2:$A$121,0))</x:f>
        <x:v>4</x:v>
      </x:c>
    </x:row>
    <x:row r="545">
      <x:c r="A545" s="14" t="n">
        <x:v>109</x:v>
      </x:c>
      <x:c r="B545" s="14" t="n">
        <x:v>4</x:v>
      </x:c>
      <x:c r="C545" s="14" t="n">
        <x:v>0</x:v>
      </x:c>
      <x:c r="D545" s="15" t="n">
        <x:f>IF(AND(C545=1,INDEX('Respondents'!$C$2:$C$121,MATCH(A545,'Respondents'!$A$2:$A$121,0))&gt;=INDEX('Strategies'!$C$2:$C$6,MATCH(B545,'Strategies'!$A$2:$A$6,0))),1,0)</x:f>
        <x:v>0</x:v>
      </x:c>
      <x:c r="E545" s="15" t="n">
        <x:f>INDEX('Respondents'!$B$2:$B$121,MATCH(A545,'Respondents'!$A$2:$A$121,0))</x:f>
        <x:v>4</x:v>
      </x:c>
    </x:row>
    <x:row r="546">
      <x:c r="A546" s="14" t="n">
        <x:v>109</x:v>
      </x:c>
      <x:c r="B546" s="14" t="n">
        <x:v>5</x:v>
      </x:c>
      <x:c r="C546" s="14" t="n">
        <x:v>1</x:v>
      </x:c>
      <x:c r="D546" s="15" t="n">
        <x:f>IF(AND(C546=1,INDEX('Respondents'!$C$2:$C$121,MATCH(A546,'Respondents'!$A$2:$A$121,0))&gt;=INDEX('Strategies'!$C$2:$C$6,MATCH(B546,'Strategies'!$A$2:$A$6,0))),1,0)</x:f>
        <x:v>0</x:v>
      </x:c>
      <x:c r="E546" s="15" t="n">
        <x:f>INDEX('Respondents'!$B$2:$B$121,MATCH(A546,'Respondents'!$A$2:$A$121,0))</x:f>
        <x:v>4</x:v>
      </x:c>
    </x:row>
    <x:row r="547">
      <x:c r="A547" s="14" t="n">
        <x:v>110</x:v>
      </x:c>
      <x:c r="B547" s="14" t="n">
        <x:v>1</x:v>
      </x:c>
      <x:c r="C547" s="14" t="n">
        <x:v>0</x:v>
      </x:c>
      <x:c r="D547" s="15" t="n">
        <x:f>IF(AND(C547=1,INDEX('Respondents'!$C$2:$C$121,MATCH(A547,'Respondents'!$A$2:$A$121,0))&gt;=INDEX('Strategies'!$C$2:$C$6,MATCH(B547,'Strategies'!$A$2:$A$6,0))),1,0)</x:f>
        <x:v>0</x:v>
      </x:c>
      <x:c r="E547" s="15" t="n">
        <x:f>INDEX('Respondents'!$B$2:$B$121,MATCH(A547,'Respondents'!$A$2:$A$121,0))</x:f>
        <x:v>4</x:v>
      </x:c>
    </x:row>
    <x:row r="548">
      <x:c r="A548" s="14" t="n">
        <x:v>110</x:v>
      </x:c>
      <x:c r="B548" s="14" t="n">
        <x:v>2</x:v>
      </x:c>
      <x:c r="C548" s="14" t="n">
        <x:v>1</x:v>
      </x:c>
      <x:c r="D548" s="15" t="n">
        <x:f>IF(AND(C548=1,INDEX('Respondents'!$C$2:$C$121,MATCH(A548,'Respondents'!$A$2:$A$121,0))&gt;=INDEX('Strategies'!$C$2:$C$6,MATCH(B548,'Strategies'!$A$2:$A$6,0))),1,0)</x:f>
        <x:v>0</x:v>
      </x:c>
      <x:c r="E548" s="15" t="n">
        <x:f>INDEX('Respondents'!$B$2:$B$121,MATCH(A548,'Respondents'!$A$2:$A$121,0))</x:f>
        <x:v>4</x:v>
      </x:c>
    </x:row>
    <x:row r="549">
      <x:c r="A549" s="14" t="n">
        <x:v>110</x:v>
      </x:c>
      <x:c r="B549" s="14" t="n">
        <x:v>3</x:v>
      </x:c>
      <x:c r="C549" s="14" t="n">
        <x:v>1</x:v>
      </x:c>
      <x:c r="D549" s="15" t="n">
        <x:f>IF(AND(C549=1,INDEX('Respondents'!$C$2:$C$121,MATCH(A549,'Respondents'!$A$2:$A$121,0))&gt;=INDEX('Strategies'!$C$2:$C$6,MATCH(B549,'Strategies'!$A$2:$A$6,0))),1,0)</x:f>
        <x:v>0</x:v>
      </x:c>
      <x:c r="E549" s="15" t="n">
        <x:f>INDEX('Respondents'!$B$2:$B$121,MATCH(A549,'Respondents'!$A$2:$A$121,0))</x:f>
        <x:v>4</x:v>
      </x:c>
    </x:row>
    <x:row r="550">
      <x:c r="A550" s="14" t="n">
        <x:v>110</x:v>
      </x:c>
      <x:c r="B550" s="14" t="n">
        <x:v>4</x:v>
      </x:c>
      <x:c r="C550" s="14" t="n">
        <x:v>1</x:v>
      </x:c>
      <x:c r="D550" s="15" t="n">
        <x:f>IF(AND(C550=1,INDEX('Respondents'!$C$2:$C$121,MATCH(A550,'Respondents'!$A$2:$A$121,0))&gt;=INDEX('Strategies'!$C$2:$C$6,MATCH(B550,'Strategies'!$A$2:$A$6,0))),1,0)</x:f>
        <x:v>0</x:v>
      </x:c>
      <x:c r="E550" s="15" t="n">
        <x:f>INDEX('Respondents'!$B$2:$B$121,MATCH(A550,'Respondents'!$A$2:$A$121,0))</x:f>
        <x:v>4</x:v>
      </x:c>
    </x:row>
    <x:row r="551">
      <x:c r="A551" s="14" t="n">
        <x:v>110</x:v>
      </x:c>
      <x:c r="B551" s="14" t="n">
        <x:v>5</x:v>
      </x:c>
      <x:c r="C551" s="14" t="n">
        <x:v>1</x:v>
      </x:c>
      <x:c r="D551" s="15" t="n">
        <x:f>IF(AND(C551=1,INDEX('Respondents'!$C$2:$C$121,MATCH(A551,'Respondents'!$A$2:$A$121,0))&gt;=INDEX('Strategies'!$C$2:$C$6,MATCH(B551,'Strategies'!$A$2:$A$6,0))),1,0)</x:f>
        <x:v>0</x:v>
      </x:c>
      <x:c r="E551" s="15" t="n">
        <x:f>INDEX('Respondents'!$B$2:$B$121,MATCH(A551,'Respondents'!$A$2:$A$121,0))</x:f>
        <x:v>4</x:v>
      </x:c>
    </x:row>
    <x:row r="552">
      <x:c r="A552" s="14" t="n">
        <x:v>111</x:v>
      </x:c>
      <x:c r="B552" s="14" t="n">
        <x:v>1</x:v>
      </x:c>
      <x:c r="C552" s="14" t="n">
        <x:v>0</x:v>
      </x:c>
      <x:c r="D552" s="15" t="n">
        <x:f>IF(AND(C552=1,INDEX('Respondents'!$C$2:$C$121,MATCH(A552,'Respondents'!$A$2:$A$121,0))&gt;=INDEX('Strategies'!$C$2:$C$6,MATCH(B552,'Strategies'!$A$2:$A$6,0))),1,0)</x:f>
        <x:v>0</x:v>
      </x:c>
      <x:c r="E552" s="15" t="n">
        <x:f>INDEX('Respondents'!$B$2:$B$121,MATCH(A552,'Respondents'!$A$2:$A$121,0))</x:f>
        <x:v>4</x:v>
      </x:c>
    </x:row>
    <x:row r="553">
      <x:c r="A553" s="14" t="n">
        <x:v>111</x:v>
      </x:c>
      <x:c r="B553" s="14" t="n">
        <x:v>2</x:v>
      </x:c>
      <x:c r="C553" s="14" t="n">
        <x:v>1</x:v>
      </x:c>
      <x:c r="D553" s="15" t="n">
        <x:f>IF(AND(C553=1,INDEX('Respondents'!$C$2:$C$121,MATCH(A553,'Respondents'!$A$2:$A$121,0))&gt;=INDEX('Strategies'!$C$2:$C$6,MATCH(B553,'Strategies'!$A$2:$A$6,0))),1,0)</x:f>
        <x:v>0</x:v>
      </x:c>
      <x:c r="E553" s="15" t="n">
        <x:f>INDEX('Respondents'!$B$2:$B$121,MATCH(A553,'Respondents'!$A$2:$A$121,0))</x:f>
        <x:v>4</x:v>
      </x:c>
    </x:row>
    <x:row r="554">
      <x:c r="A554" s="14" t="n">
        <x:v>111</x:v>
      </x:c>
      <x:c r="B554" s="14" t="n">
        <x:v>3</x:v>
      </x:c>
      <x:c r="C554" s="14" t="n">
        <x:v>1</x:v>
      </x:c>
      <x:c r="D554" s="15" t="n">
        <x:f>IF(AND(C554=1,INDEX('Respondents'!$C$2:$C$121,MATCH(A554,'Respondents'!$A$2:$A$121,0))&gt;=INDEX('Strategies'!$C$2:$C$6,MATCH(B554,'Strategies'!$A$2:$A$6,0))),1,0)</x:f>
        <x:v>0</x:v>
      </x:c>
      <x:c r="E554" s="15" t="n">
        <x:f>INDEX('Respondents'!$B$2:$B$121,MATCH(A554,'Respondents'!$A$2:$A$121,0))</x:f>
        <x:v>4</x:v>
      </x:c>
    </x:row>
    <x:row r="555">
      <x:c r="A555" s="14" t="n">
        <x:v>111</x:v>
      </x:c>
      <x:c r="B555" s="14" t="n">
        <x:v>4</x:v>
      </x:c>
      <x:c r="C555" s="14" t="n">
        <x:v>1</x:v>
      </x:c>
      <x:c r="D555" s="15" t="n">
        <x:f>IF(AND(C555=1,INDEX('Respondents'!$C$2:$C$121,MATCH(A555,'Respondents'!$A$2:$A$121,0))&gt;=INDEX('Strategies'!$C$2:$C$6,MATCH(B555,'Strategies'!$A$2:$A$6,0))),1,0)</x:f>
        <x:v>0</x:v>
      </x:c>
      <x:c r="E555" s="15" t="n">
        <x:f>INDEX('Respondents'!$B$2:$B$121,MATCH(A555,'Respondents'!$A$2:$A$121,0))</x:f>
        <x:v>4</x:v>
      </x:c>
    </x:row>
    <x:row r="556">
      <x:c r="A556" s="14" t="n">
        <x:v>111</x:v>
      </x:c>
      <x:c r="B556" s="14" t="n">
        <x:v>5</x:v>
      </x:c>
      <x:c r="C556" s="14" t="n">
        <x:v>1</x:v>
      </x:c>
      <x:c r="D556" s="15" t="n">
        <x:f>IF(AND(C556=1,INDEX('Respondents'!$C$2:$C$121,MATCH(A556,'Respondents'!$A$2:$A$121,0))&gt;=INDEX('Strategies'!$C$2:$C$6,MATCH(B556,'Strategies'!$A$2:$A$6,0))),1,0)</x:f>
        <x:v>0</x:v>
      </x:c>
      <x:c r="E556" s="15" t="n">
        <x:f>INDEX('Respondents'!$B$2:$B$121,MATCH(A556,'Respondents'!$A$2:$A$121,0))</x:f>
        <x:v>4</x:v>
      </x:c>
    </x:row>
    <x:row r="557">
      <x:c r="A557" s="14" t="n">
        <x:v>112</x:v>
      </x:c>
      <x:c r="B557" s="14" t="n">
        <x:v>1</x:v>
      </x:c>
      <x:c r="C557" s="14" t="n">
        <x:v>1</x:v>
      </x:c>
      <x:c r="D557" s="15" t="n">
        <x:f>IF(AND(C557=1,INDEX('Respondents'!$C$2:$C$121,MATCH(A557,'Respondents'!$A$2:$A$121,0))&gt;=INDEX('Strategies'!$C$2:$C$6,MATCH(B557,'Strategies'!$A$2:$A$6,0))),1,0)</x:f>
        <x:v>0</x:v>
      </x:c>
      <x:c r="E557" s="15" t="n">
        <x:f>INDEX('Respondents'!$B$2:$B$121,MATCH(A557,'Respondents'!$A$2:$A$121,0))</x:f>
        <x:v>4</x:v>
      </x:c>
    </x:row>
    <x:row r="558">
      <x:c r="A558" s="14" t="n">
        <x:v>112</x:v>
      </x:c>
      <x:c r="B558" s="14" t="n">
        <x:v>2</x:v>
      </x:c>
      <x:c r="C558" s="14" t="n">
        <x:v>0</x:v>
      </x:c>
      <x:c r="D558" s="15" t="n">
        <x:f>IF(AND(C558=1,INDEX('Respondents'!$C$2:$C$121,MATCH(A558,'Respondents'!$A$2:$A$121,0))&gt;=INDEX('Strategies'!$C$2:$C$6,MATCH(B558,'Strategies'!$A$2:$A$6,0))),1,0)</x:f>
        <x:v>0</x:v>
      </x:c>
      <x:c r="E558" s="15" t="n">
        <x:f>INDEX('Respondents'!$B$2:$B$121,MATCH(A558,'Respondents'!$A$2:$A$121,0))</x:f>
        <x:v>4</x:v>
      </x:c>
    </x:row>
    <x:row r="559">
      <x:c r="A559" s="14" t="n">
        <x:v>112</x:v>
      </x:c>
      <x:c r="B559" s="14" t="n">
        <x:v>3</x:v>
      </x:c>
      <x:c r="C559" s="14" t="n">
        <x:v>1</x:v>
      </x:c>
      <x:c r="D559" s="15" t="n">
        <x:f>IF(AND(C559=1,INDEX('Respondents'!$C$2:$C$121,MATCH(A559,'Respondents'!$A$2:$A$121,0))&gt;=INDEX('Strategies'!$C$2:$C$6,MATCH(B559,'Strategies'!$A$2:$A$6,0))),1,0)</x:f>
        <x:v>0</x:v>
      </x:c>
      <x:c r="E559" s="15" t="n">
        <x:f>INDEX('Respondents'!$B$2:$B$121,MATCH(A559,'Respondents'!$A$2:$A$121,0))</x:f>
        <x:v>4</x:v>
      </x:c>
    </x:row>
    <x:row r="560">
      <x:c r="A560" s="14" t="n">
        <x:v>112</x:v>
      </x:c>
      <x:c r="B560" s="14" t="n">
        <x:v>4</x:v>
      </x:c>
      <x:c r="C560" s="14" t="n">
        <x:v>1</x:v>
      </x:c>
      <x:c r="D560" s="15" t="n">
        <x:f>IF(AND(C560=1,INDEX('Respondents'!$C$2:$C$121,MATCH(A560,'Respondents'!$A$2:$A$121,0))&gt;=INDEX('Strategies'!$C$2:$C$6,MATCH(B560,'Strategies'!$A$2:$A$6,0))),1,0)</x:f>
        <x:v>1</x:v>
      </x:c>
      <x:c r="E560" s="15" t="n">
        <x:f>INDEX('Respondents'!$B$2:$B$121,MATCH(A560,'Respondents'!$A$2:$A$121,0))</x:f>
        <x:v>4</x:v>
      </x:c>
    </x:row>
    <x:row r="561">
      <x:c r="A561" s="14" t="n">
        <x:v>112</x:v>
      </x:c>
      <x:c r="B561" s="14" t="n">
        <x:v>5</x:v>
      </x:c>
      <x:c r="C561" s="14" t="n">
        <x:v>1</x:v>
      </x:c>
      <x:c r="D561" s="15" t="n">
        <x:f>IF(AND(C561=1,INDEX('Respondents'!$C$2:$C$121,MATCH(A561,'Respondents'!$A$2:$A$121,0))&gt;=INDEX('Strategies'!$C$2:$C$6,MATCH(B561,'Strategies'!$A$2:$A$6,0))),1,0)</x:f>
        <x:v>0</x:v>
      </x:c>
      <x:c r="E561" s="15" t="n">
        <x:f>INDEX('Respondents'!$B$2:$B$121,MATCH(A561,'Respondents'!$A$2:$A$121,0))</x:f>
        <x:v>4</x:v>
      </x:c>
    </x:row>
    <x:row r="562">
      <x:c r="A562" s="14" t="n">
        <x:v>113</x:v>
      </x:c>
      <x:c r="B562" s="14" t="n">
        <x:v>1</x:v>
      </x:c>
      <x:c r="C562" s="14" t="n">
        <x:v>1</x:v>
      </x:c>
      <x:c r="D562" s="15" t="n">
        <x:f>IF(AND(C562=1,INDEX('Respondents'!$C$2:$C$121,MATCH(A562,'Respondents'!$A$2:$A$121,0))&gt;=INDEX('Strategies'!$C$2:$C$6,MATCH(B562,'Strategies'!$A$2:$A$6,0))),1,0)</x:f>
        <x:v>0</x:v>
      </x:c>
      <x:c r="E562" s="15" t="n">
        <x:f>INDEX('Respondents'!$B$2:$B$121,MATCH(A562,'Respondents'!$A$2:$A$121,0))</x:f>
        <x:v>4</x:v>
      </x:c>
    </x:row>
    <x:row r="563">
      <x:c r="A563" s="14" t="n">
        <x:v>113</x:v>
      </x:c>
      <x:c r="B563" s="14" t="n">
        <x:v>2</x:v>
      </x:c>
      <x:c r="C563" s="14" t="n">
        <x:v>1</x:v>
      </x:c>
      <x:c r="D563" s="15" t="n">
        <x:f>IF(AND(C563=1,INDEX('Respondents'!$C$2:$C$121,MATCH(A563,'Respondents'!$A$2:$A$121,0))&gt;=INDEX('Strategies'!$C$2:$C$6,MATCH(B563,'Strategies'!$A$2:$A$6,0))),1,0)</x:f>
        <x:v>0</x:v>
      </x:c>
      <x:c r="E563" s="15" t="n">
        <x:f>INDEX('Respondents'!$B$2:$B$121,MATCH(A563,'Respondents'!$A$2:$A$121,0))</x:f>
        <x:v>4</x:v>
      </x:c>
    </x:row>
    <x:row r="564">
      <x:c r="A564" s="14" t="n">
        <x:v>113</x:v>
      </x:c>
      <x:c r="B564" s="14" t="n">
        <x:v>3</x:v>
      </x:c>
      <x:c r="C564" s="14" t="n">
        <x:v>1</x:v>
      </x:c>
      <x:c r="D564" s="15" t="n">
        <x:f>IF(AND(C564=1,INDEX('Respondents'!$C$2:$C$121,MATCH(A564,'Respondents'!$A$2:$A$121,0))&gt;=INDEX('Strategies'!$C$2:$C$6,MATCH(B564,'Strategies'!$A$2:$A$6,0))),1,0)</x:f>
        <x:v>0</x:v>
      </x:c>
      <x:c r="E564" s="15" t="n">
        <x:f>INDEX('Respondents'!$B$2:$B$121,MATCH(A564,'Respondents'!$A$2:$A$121,0))</x:f>
        <x:v>4</x:v>
      </x:c>
    </x:row>
    <x:row r="565">
      <x:c r="A565" s="14" t="n">
        <x:v>113</x:v>
      </x:c>
      <x:c r="B565" s="14" t="n">
        <x:v>4</x:v>
      </x:c>
      <x:c r="C565" s="14" t="n">
        <x:v>1</x:v>
      </x:c>
      <x:c r="D565" s="15" t="n">
        <x:f>IF(AND(C565=1,INDEX('Respondents'!$C$2:$C$121,MATCH(A565,'Respondents'!$A$2:$A$121,0))&gt;=INDEX('Strategies'!$C$2:$C$6,MATCH(B565,'Strategies'!$A$2:$A$6,0))),1,0)</x:f>
        <x:v>0</x:v>
      </x:c>
      <x:c r="E565" s="15" t="n">
        <x:f>INDEX('Respondents'!$B$2:$B$121,MATCH(A565,'Respondents'!$A$2:$A$121,0))</x:f>
        <x:v>4</x:v>
      </x:c>
    </x:row>
    <x:row r="566">
      <x:c r="A566" s="14" t="n">
        <x:v>113</x:v>
      </x:c>
      <x:c r="B566" s="14" t="n">
        <x:v>5</x:v>
      </x:c>
      <x:c r="C566" s="14" t="n">
        <x:v>1</x:v>
      </x:c>
      <x:c r="D566" s="15" t="n">
        <x:f>IF(AND(C566=1,INDEX('Respondents'!$C$2:$C$121,MATCH(A566,'Respondents'!$A$2:$A$121,0))&gt;=INDEX('Strategies'!$C$2:$C$6,MATCH(B566,'Strategies'!$A$2:$A$6,0))),1,0)</x:f>
        <x:v>0</x:v>
      </x:c>
      <x:c r="E566" s="15" t="n">
        <x:f>INDEX('Respondents'!$B$2:$B$121,MATCH(A566,'Respondents'!$A$2:$A$121,0))</x:f>
        <x:v>4</x:v>
      </x:c>
    </x:row>
    <x:row r="567">
      <x:c r="A567" s="14" t="n">
        <x:v>114</x:v>
      </x:c>
      <x:c r="B567" s="14" t="n">
        <x:v>1</x:v>
      </x:c>
      <x:c r="C567" s="14" t="n">
        <x:v>0</x:v>
      </x:c>
      <x:c r="D567" s="15" t="n">
        <x:f>IF(AND(C567=1,INDEX('Respondents'!$C$2:$C$121,MATCH(A567,'Respondents'!$A$2:$A$121,0))&gt;=INDEX('Strategies'!$C$2:$C$6,MATCH(B567,'Strategies'!$A$2:$A$6,0))),1,0)</x:f>
        <x:v>0</x:v>
      </x:c>
      <x:c r="E567" s="15" t="n">
        <x:f>INDEX('Respondents'!$B$2:$B$121,MATCH(A567,'Respondents'!$A$2:$A$121,0))</x:f>
        <x:v>4</x:v>
      </x:c>
    </x:row>
    <x:row r="568">
      <x:c r="A568" s="14" t="n">
        <x:v>114</x:v>
      </x:c>
      <x:c r="B568" s="14" t="n">
        <x:v>2</x:v>
      </x:c>
      <x:c r="C568" s="14" t="n">
        <x:v>1</x:v>
      </x:c>
      <x:c r="D568" s="15" t="n">
        <x:f>IF(AND(C568=1,INDEX('Respondents'!$C$2:$C$121,MATCH(A568,'Respondents'!$A$2:$A$121,0))&gt;=INDEX('Strategies'!$C$2:$C$6,MATCH(B568,'Strategies'!$A$2:$A$6,0))),1,0)</x:f>
        <x:v>0</x:v>
      </x:c>
      <x:c r="E568" s="15" t="n">
        <x:f>INDEX('Respondents'!$B$2:$B$121,MATCH(A568,'Respondents'!$A$2:$A$121,0))</x:f>
        <x:v>4</x:v>
      </x:c>
    </x:row>
    <x:row r="569">
      <x:c r="A569" s="14" t="n">
        <x:v>114</x:v>
      </x:c>
      <x:c r="B569" s="14" t="n">
        <x:v>3</x:v>
      </x:c>
      <x:c r="C569" s="14" t="n">
        <x:v>0</x:v>
      </x:c>
      <x:c r="D569" s="15" t="n">
        <x:f>IF(AND(C569=1,INDEX('Respondents'!$C$2:$C$121,MATCH(A569,'Respondents'!$A$2:$A$121,0))&gt;=INDEX('Strategies'!$C$2:$C$6,MATCH(B569,'Strategies'!$A$2:$A$6,0))),1,0)</x:f>
        <x:v>0</x:v>
      </x:c>
      <x:c r="E569" s="15" t="n">
        <x:f>INDEX('Respondents'!$B$2:$B$121,MATCH(A569,'Respondents'!$A$2:$A$121,0))</x:f>
        <x:v>4</x:v>
      </x:c>
    </x:row>
    <x:row r="570">
      <x:c r="A570" s="14" t="n">
        <x:v>114</x:v>
      </x:c>
      <x:c r="B570" s="14" t="n">
        <x:v>4</x:v>
      </x:c>
      <x:c r="C570" s="14" t="n">
        <x:v>0</x:v>
      </x:c>
      <x:c r="D570" s="15" t="n">
        <x:f>IF(AND(C570=1,INDEX('Respondents'!$C$2:$C$121,MATCH(A570,'Respondents'!$A$2:$A$121,0))&gt;=INDEX('Strategies'!$C$2:$C$6,MATCH(B570,'Strategies'!$A$2:$A$6,0))),1,0)</x:f>
        <x:v>0</x:v>
      </x:c>
      <x:c r="E570" s="15" t="n">
        <x:f>INDEX('Respondents'!$B$2:$B$121,MATCH(A570,'Respondents'!$A$2:$A$121,0))</x:f>
        <x:v>4</x:v>
      </x:c>
    </x:row>
    <x:row r="571">
      <x:c r="A571" s="14" t="n">
        <x:v>114</x:v>
      </x:c>
      <x:c r="B571" s="14" t="n">
        <x:v>5</x:v>
      </x:c>
      <x:c r="C571" s="14" t="n">
        <x:v>1</x:v>
      </x:c>
      <x:c r="D571" s="15" t="n">
        <x:f>IF(AND(C571=1,INDEX('Respondents'!$C$2:$C$121,MATCH(A571,'Respondents'!$A$2:$A$121,0))&gt;=INDEX('Strategies'!$C$2:$C$6,MATCH(B571,'Strategies'!$A$2:$A$6,0))),1,0)</x:f>
        <x:v>0</x:v>
      </x:c>
      <x:c r="E571" s="15" t="n">
        <x:f>INDEX('Respondents'!$B$2:$B$121,MATCH(A571,'Respondents'!$A$2:$A$121,0))</x:f>
        <x:v>4</x:v>
      </x:c>
    </x:row>
    <x:row r="572">
      <x:c r="A572" s="14" t="n">
        <x:v>115</x:v>
      </x:c>
      <x:c r="B572" s="14" t="n">
        <x:v>1</x:v>
      </x:c>
      <x:c r="C572" s="14" t="n">
        <x:v>0</x:v>
      </x:c>
      <x:c r="D572" s="15" t="n">
        <x:f>IF(AND(C572=1,INDEX('Respondents'!$C$2:$C$121,MATCH(A572,'Respondents'!$A$2:$A$121,0))&gt;=INDEX('Strategies'!$C$2:$C$6,MATCH(B572,'Strategies'!$A$2:$A$6,0))),1,0)</x:f>
        <x:v>0</x:v>
      </x:c>
      <x:c r="E572" s="15" t="n">
        <x:f>INDEX('Respondents'!$B$2:$B$121,MATCH(A572,'Respondents'!$A$2:$A$121,0))</x:f>
        <x:v>4</x:v>
      </x:c>
    </x:row>
    <x:row r="573">
      <x:c r="A573" s="14" t="n">
        <x:v>115</x:v>
      </x:c>
      <x:c r="B573" s="14" t="n">
        <x:v>2</x:v>
      </x:c>
      <x:c r="C573" s="14" t="n">
        <x:v>1</x:v>
      </x:c>
      <x:c r="D573" s="15" t="n">
        <x:f>IF(AND(C573=1,INDEX('Respondents'!$C$2:$C$121,MATCH(A573,'Respondents'!$A$2:$A$121,0))&gt;=INDEX('Strategies'!$C$2:$C$6,MATCH(B573,'Strategies'!$A$2:$A$6,0))),1,0)</x:f>
        <x:v>0</x:v>
      </x:c>
      <x:c r="E573" s="15" t="n">
        <x:f>INDEX('Respondents'!$B$2:$B$121,MATCH(A573,'Respondents'!$A$2:$A$121,0))</x:f>
        <x:v>4</x:v>
      </x:c>
    </x:row>
    <x:row r="574">
      <x:c r="A574" s="14" t="n">
        <x:v>115</x:v>
      </x:c>
      <x:c r="B574" s="14" t="n">
        <x:v>3</x:v>
      </x:c>
      <x:c r="C574" s="14" t="n">
        <x:v>1</x:v>
      </x:c>
      <x:c r="D574" s="15" t="n">
        <x:f>IF(AND(C574=1,INDEX('Respondents'!$C$2:$C$121,MATCH(A574,'Respondents'!$A$2:$A$121,0))&gt;=INDEX('Strategies'!$C$2:$C$6,MATCH(B574,'Strategies'!$A$2:$A$6,0))),1,0)</x:f>
        <x:v>0</x:v>
      </x:c>
      <x:c r="E574" s="15" t="n">
        <x:f>INDEX('Respondents'!$B$2:$B$121,MATCH(A574,'Respondents'!$A$2:$A$121,0))</x:f>
        <x:v>4</x:v>
      </x:c>
    </x:row>
    <x:row r="575">
      <x:c r="A575" s="14" t="n">
        <x:v>115</x:v>
      </x:c>
      <x:c r="B575" s="14" t="n">
        <x:v>4</x:v>
      </x:c>
      <x:c r="C575" s="14" t="n">
        <x:v>1</x:v>
      </x:c>
      <x:c r="D575" s="15" t="n">
        <x:f>IF(AND(C575=1,INDEX('Respondents'!$C$2:$C$121,MATCH(A575,'Respondents'!$A$2:$A$121,0))&gt;=INDEX('Strategies'!$C$2:$C$6,MATCH(B575,'Strategies'!$A$2:$A$6,0))),1,0)</x:f>
        <x:v>0</x:v>
      </x:c>
      <x:c r="E575" s="15" t="n">
        <x:f>INDEX('Respondents'!$B$2:$B$121,MATCH(A575,'Respondents'!$A$2:$A$121,0))</x:f>
        <x:v>4</x:v>
      </x:c>
    </x:row>
    <x:row r="576">
      <x:c r="A576" s="14" t="n">
        <x:v>115</x:v>
      </x:c>
      <x:c r="B576" s="14" t="n">
        <x:v>5</x:v>
      </x:c>
      <x:c r="C576" s="14" t="n">
        <x:v>0</x:v>
      </x:c>
      <x:c r="D576" s="15" t="n">
        <x:f>IF(AND(C576=1,INDEX('Respondents'!$C$2:$C$121,MATCH(A576,'Respondents'!$A$2:$A$121,0))&gt;=INDEX('Strategies'!$C$2:$C$6,MATCH(B576,'Strategies'!$A$2:$A$6,0))),1,0)</x:f>
        <x:v>0</x:v>
      </x:c>
      <x:c r="E576" s="15" t="n">
        <x:f>INDEX('Respondents'!$B$2:$B$121,MATCH(A576,'Respondents'!$A$2:$A$121,0))</x:f>
        <x:v>4</x:v>
      </x:c>
    </x:row>
    <x:row r="577">
      <x:c r="A577" s="14" t="n">
        <x:v>116</x:v>
      </x:c>
      <x:c r="B577" s="14" t="n">
        <x:v>1</x:v>
      </x:c>
      <x:c r="C577" s="14" t="n">
        <x:v>0</x:v>
      </x:c>
      <x:c r="D577" s="15" t="n">
        <x:f>IF(AND(C577=1,INDEX('Respondents'!$C$2:$C$121,MATCH(A577,'Respondents'!$A$2:$A$121,0))&gt;=INDEX('Strategies'!$C$2:$C$6,MATCH(B577,'Strategies'!$A$2:$A$6,0))),1,0)</x:f>
        <x:v>0</x:v>
      </x:c>
      <x:c r="E577" s="15" t="n">
        <x:f>INDEX('Respondents'!$B$2:$B$121,MATCH(A577,'Respondents'!$A$2:$A$121,0))</x:f>
        <x:v>4</x:v>
      </x:c>
    </x:row>
    <x:row r="578">
      <x:c r="A578" s="14" t="n">
        <x:v>116</x:v>
      </x:c>
      <x:c r="B578" s="14" t="n">
        <x:v>2</x:v>
      </x:c>
      <x:c r="C578" s="14" t="n">
        <x:v>1</x:v>
      </x:c>
      <x:c r="D578" s="15" t="n">
        <x:f>IF(AND(C578=1,INDEX('Respondents'!$C$2:$C$121,MATCH(A578,'Respondents'!$A$2:$A$121,0))&gt;=INDEX('Strategies'!$C$2:$C$6,MATCH(B578,'Strategies'!$A$2:$A$6,0))),1,0)</x:f>
        <x:v>0</x:v>
      </x:c>
      <x:c r="E578" s="15" t="n">
        <x:f>INDEX('Respondents'!$B$2:$B$121,MATCH(A578,'Respondents'!$A$2:$A$121,0))</x:f>
        <x:v>4</x:v>
      </x:c>
    </x:row>
    <x:row r="579">
      <x:c r="A579" s="14" t="n">
        <x:v>116</x:v>
      </x:c>
      <x:c r="B579" s="14" t="n">
        <x:v>3</x:v>
      </x:c>
      <x:c r="C579" s="14" t="n">
        <x:v>1</x:v>
      </x:c>
      <x:c r="D579" s="15" t="n">
        <x:f>IF(AND(C579=1,INDEX('Respondents'!$C$2:$C$121,MATCH(A579,'Respondents'!$A$2:$A$121,0))&gt;=INDEX('Strategies'!$C$2:$C$6,MATCH(B579,'Strategies'!$A$2:$A$6,0))),1,0)</x:f>
        <x:v>0</x:v>
      </x:c>
      <x:c r="E579" s="15" t="n">
        <x:f>INDEX('Respondents'!$B$2:$B$121,MATCH(A579,'Respondents'!$A$2:$A$121,0))</x:f>
        <x:v>4</x:v>
      </x:c>
    </x:row>
    <x:row r="580">
      <x:c r="A580" s="14" t="n">
        <x:v>116</x:v>
      </x:c>
      <x:c r="B580" s="14" t="n">
        <x:v>4</x:v>
      </x:c>
      <x:c r="C580" s="14" t="n">
        <x:v>1</x:v>
      </x:c>
      <x:c r="D580" s="15" t="n">
        <x:f>IF(AND(C580=1,INDEX('Respondents'!$C$2:$C$121,MATCH(A580,'Respondents'!$A$2:$A$121,0))&gt;=INDEX('Strategies'!$C$2:$C$6,MATCH(B580,'Strategies'!$A$2:$A$6,0))),1,0)</x:f>
        <x:v>1</x:v>
      </x:c>
      <x:c r="E580" s="15" t="n">
        <x:f>INDEX('Respondents'!$B$2:$B$121,MATCH(A580,'Respondents'!$A$2:$A$121,0))</x:f>
        <x:v>4</x:v>
      </x:c>
    </x:row>
    <x:row r="581">
      <x:c r="A581" s="14" t="n">
        <x:v>116</x:v>
      </x:c>
      <x:c r="B581" s="14" t="n">
        <x:v>5</x:v>
      </x:c>
      <x:c r="C581" s="14" t="n">
        <x:v>1</x:v>
      </x:c>
      <x:c r="D581" s="15" t="n">
        <x:f>IF(AND(C581=1,INDEX('Respondents'!$C$2:$C$121,MATCH(A581,'Respondents'!$A$2:$A$121,0))&gt;=INDEX('Strategies'!$C$2:$C$6,MATCH(B581,'Strategies'!$A$2:$A$6,0))),1,0)</x:f>
        <x:v>0</x:v>
      </x:c>
      <x:c r="E581" s="15" t="n">
        <x:f>INDEX('Respondents'!$B$2:$B$121,MATCH(A581,'Respondents'!$A$2:$A$121,0))</x:f>
        <x:v>4</x:v>
      </x:c>
    </x:row>
    <x:row r="582">
      <x:c r="A582" s="14" t="n">
        <x:v>117</x:v>
      </x:c>
      <x:c r="B582" s="14" t="n">
        <x:v>1</x:v>
      </x:c>
      <x:c r="C582" s="14" t="n">
        <x:v>0</x:v>
      </x:c>
      <x:c r="D582" s="15" t="n">
        <x:f>IF(AND(C582=1,INDEX('Respondents'!$C$2:$C$121,MATCH(A582,'Respondents'!$A$2:$A$121,0))&gt;=INDEX('Strategies'!$C$2:$C$6,MATCH(B582,'Strategies'!$A$2:$A$6,0))),1,0)</x:f>
        <x:v>0</x:v>
      </x:c>
      <x:c r="E582" s="15" t="n">
        <x:f>INDEX('Respondents'!$B$2:$B$121,MATCH(A582,'Respondents'!$A$2:$A$121,0))</x:f>
        <x:v>4</x:v>
      </x:c>
    </x:row>
    <x:row r="583">
      <x:c r="A583" s="14" t="n">
        <x:v>117</x:v>
      </x:c>
      <x:c r="B583" s="14" t="n">
        <x:v>2</x:v>
      </x:c>
      <x:c r="C583" s="14" t="n">
        <x:v>1</x:v>
      </x:c>
      <x:c r="D583" s="15" t="n">
        <x:f>IF(AND(C583=1,INDEX('Respondents'!$C$2:$C$121,MATCH(A583,'Respondents'!$A$2:$A$121,0))&gt;=INDEX('Strategies'!$C$2:$C$6,MATCH(B583,'Strategies'!$A$2:$A$6,0))),1,0)</x:f>
        <x:v>0</x:v>
      </x:c>
      <x:c r="E583" s="15" t="n">
        <x:f>INDEX('Respondents'!$B$2:$B$121,MATCH(A583,'Respondents'!$A$2:$A$121,0))</x:f>
        <x:v>4</x:v>
      </x:c>
    </x:row>
    <x:row r="584">
      <x:c r="A584" s="14" t="n">
        <x:v>117</x:v>
      </x:c>
      <x:c r="B584" s="14" t="n">
        <x:v>3</x:v>
      </x:c>
      <x:c r="C584" s="14" t="n">
        <x:v>1</x:v>
      </x:c>
      <x:c r="D584" s="15" t="n">
        <x:f>IF(AND(C584=1,INDEX('Respondents'!$C$2:$C$121,MATCH(A584,'Respondents'!$A$2:$A$121,0))&gt;=INDEX('Strategies'!$C$2:$C$6,MATCH(B584,'Strategies'!$A$2:$A$6,0))),1,0)</x:f>
        <x:v>0</x:v>
      </x:c>
      <x:c r="E584" s="15" t="n">
        <x:f>INDEX('Respondents'!$B$2:$B$121,MATCH(A584,'Respondents'!$A$2:$A$121,0))</x:f>
        <x:v>4</x:v>
      </x:c>
    </x:row>
    <x:row r="585">
      <x:c r="A585" s="14" t="n">
        <x:v>117</x:v>
      </x:c>
      <x:c r="B585" s="14" t="n">
        <x:v>4</x:v>
      </x:c>
      <x:c r="C585" s="14" t="n">
        <x:v>0</x:v>
      </x:c>
      <x:c r="D585" s="15" t="n">
        <x:f>IF(AND(C585=1,INDEX('Respondents'!$C$2:$C$121,MATCH(A585,'Respondents'!$A$2:$A$121,0))&gt;=INDEX('Strategies'!$C$2:$C$6,MATCH(B585,'Strategies'!$A$2:$A$6,0))),1,0)</x:f>
        <x:v>0</x:v>
      </x:c>
      <x:c r="E585" s="15" t="n">
        <x:f>INDEX('Respondents'!$B$2:$B$121,MATCH(A585,'Respondents'!$A$2:$A$121,0))</x:f>
        <x:v>4</x:v>
      </x:c>
    </x:row>
    <x:row r="586">
      <x:c r="A586" s="14" t="n">
        <x:v>117</x:v>
      </x:c>
      <x:c r="B586" s="14" t="n">
        <x:v>5</x:v>
      </x:c>
      <x:c r="C586" s="14" t="n">
        <x:v>1</x:v>
      </x:c>
      <x:c r="D586" s="15" t="n">
        <x:f>IF(AND(C586=1,INDEX('Respondents'!$C$2:$C$121,MATCH(A586,'Respondents'!$A$2:$A$121,0))&gt;=INDEX('Strategies'!$C$2:$C$6,MATCH(B586,'Strategies'!$A$2:$A$6,0))),1,0)</x:f>
        <x:v>0</x:v>
      </x:c>
      <x:c r="E586" s="15" t="n">
        <x:f>INDEX('Respondents'!$B$2:$B$121,MATCH(A586,'Respondents'!$A$2:$A$121,0))</x:f>
        <x:v>4</x:v>
      </x:c>
    </x:row>
    <x:row r="587">
      <x:c r="A587" s="14" t="n">
        <x:v>118</x:v>
      </x:c>
      <x:c r="B587" s="14" t="n">
        <x:v>1</x:v>
      </x:c>
      <x:c r="C587" s="14" t="n">
        <x:v>0</x:v>
      </x:c>
      <x:c r="D587" s="15" t="n">
        <x:f>IF(AND(C587=1,INDEX('Respondents'!$C$2:$C$121,MATCH(A587,'Respondents'!$A$2:$A$121,0))&gt;=INDEX('Strategies'!$C$2:$C$6,MATCH(B587,'Strategies'!$A$2:$A$6,0))),1,0)</x:f>
        <x:v>0</x:v>
      </x:c>
      <x:c r="E587" s="15" t="n">
        <x:f>INDEX('Respondents'!$B$2:$B$121,MATCH(A587,'Respondents'!$A$2:$A$121,0))</x:f>
        <x:v>4</x:v>
      </x:c>
    </x:row>
    <x:row r="588">
      <x:c r="A588" s="14" t="n">
        <x:v>118</x:v>
      </x:c>
      <x:c r="B588" s="14" t="n">
        <x:v>2</x:v>
      </x:c>
      <x:c r="C588" s="14" t="n">
        <x:v>0</x:v>
      </x:c>
      <x:c r="D588" s="15" t="n">
        <x:f>IF(AND(C588=1,INDEX('Respondents'!$C$2:$C$121,MATCH(A588,'Respondents'!$A$2:$A$121,0))&gt;=INDEX('Strategies'!$C$2:$C$6,MATCH(B588,'Strategies'!$A$2:$A$6,0))),1,0)</x:f>
        <x:v>0</x:v>
      </x:c>
      <x:c r="E588" s="15" t="n">
        <x:f>INDEX('Respondents'!$B$2:$B$121,MATCH(A588,'Respondents'!$A$2:$A$121,0))</x:f>
        <x:v>4</x:v>
      </x:c>
    </x:row>
    <x:row r="589">
      <x:c r="A589" s="14" t="n">
        <x:v>118</x:v>
      </x:c>
      <x:c r="B589" s="14" t="n">
        <x:v>3</x:v>
      </x:c>
      <x:c r="C589" s="14" t="n">
        <x:v>1</x:v>
      </x:c>
      <x:c r="D589" s="15" t="n">
        <x:f>IF(AND(C589=1,INDEX('Respondents'!$C$2:$C$121,MATCH(A589,'Respondents'!$A$2:$A$121,0))&gt;=INDEX('Strategies'!$C$2:$C$6,MATCH(B589,'Strategies'!$A$2:$A$6,0))),1,0)</x:f>
        <x:v>0</x:v>
      </x:c>
      <x:c r="E589" s="15" t="n">
        <x:f>INDEX('Respondents'!$B$2:$B$121,MATCH(A589,'Respondents'!$A$2:$A$121,0))</x:f>
        <x:v>4</x:v>
      </x:c>
    </x:row>
    <x:row r="590">
      <x:c r="A590" s="14" t="n">
        <x:v>118</x:v>
      </x:c>
      <x:c r="B590" s="14" t="n">
        <x:v>4</x:v>
      </x:c>
      <x:c r="C590" s="14" t="n">
        <x:v>1</x:v>
      </x:c>
      <x:c r="D590" s="15" t="n">
        <x:f>IF(AND(C590=1,INDEX('Respondents'!$C$2:$C$121,MATCH(A590,'Respondents'!$A$2:$A$121,0))&gt;=INDEX('Strategies'!$C$2:$C$6,MATCH(B590,'Strategies'!$A$2:$A$6,0))),1,0)</x:f>
        <x:v>0</x:v>
      </x:c>
      <x:c r="E590" s="15" t="n">
        <x:f>INDEX('Respondents'!$B$2:$B$121,MATCH(A590,'Respondents'!$A$2:$A$121,0))</x:f>
        <x:v>4</x:v>
      </x:c>
    </x:row>
    <x:row r="591">
      <x:c r="A591" s="14" t="n">
        <x:v>118</x:v>
      </x:c>
      <x:c r="B591" s="14" t="n">
        <x:v>5</x:v>
      </x:c>
      <x:c r="C591" s="14" t="n">
        <x:v>0</x:v>
      </x:c>
      <x:c r="D591" s="15" t="n">
        <x:f>IF(AND(C591=1,INDEX('Respondents'!$C$2:$C$121,MATCH(A591,'Respondents'!$A$2:$A$121,0))&gt;=INDEX('Strategies'!$C$2:$C$6,MATCH(B591,'Strategies'!$A$2:$A$6,0))),1,0)</x:f>
        <x:v>0</x:v>
      </x:c>
      <x:c r="E591" s="15" t="n">
        <x:f>INDEX('Respondents'!$B$2:$B$121,MATCH(A591,'Respondents'!$A$2:$A$121,0))</x:f>
        <x:v>4</x:v>
      </x:c>
    </x:row>
    <x:row r="592">
      <x:c r="A592" s="14" t="n">
        <x:v>119</x:v>
      </x:c>
      <x:c r="B592" s="14" t="n">
        <x:v>1</x:v>
      </x:c>
      <x:c r="C592" s="14" t="n">
        <x:v>1</x:v>
      </x:c>
      <x:c r="D592" s="15" t="n">
        <x:f>IF(AND(C592=1,INDEX('Respondents'!$C$2:$C$121,MATCH(A592,'Respondents'!$A$2:$A$121,0))&gt;=INDEX('Strategies'!$C$2:$C$6,MATCH(B592,'Strategies'!$A$2:$A$6,0))),1,0)</x:f>
        <x:v>0</x:v>
      </x:c>
      <x:c r="E592" s="15" t="n">
        <x:f>INDEX('Respondents'!$B$2:$B$121,MATCH(A592,'Respondents'!$A$2:$A$121,0))</x:f>
        <x:v>4</x:v>
      </x:c>
    </x:row>
    <x:row r="593">
      <x:c r="A593" s="14" t="n">
        <x:v>119</x:v>
      </x:c>
      <x:c r="B593" s="14" t="n">
        <x:v>2</x:v>
      </x:c>
      <x:c r="C593" s="14" t="n">
        <x:v>1</x:v>
      </x:c>
      <x:c r="D593" s="15" t="n">
        <x:f>IF(AND(C593=1,INDEX('Respondents'!$C$2:$C$121,MATCH(A593,'Respondents'!$A$2:$A$121,0))&gt;=INDEX('Strategies'!$C$2:$C$6,MATCH(B593,'Strategies'!$A$2:$A$6,0))),1,0)</x:f>
        <x:v>0</x:v>
      </x:c>
      <x:c r="E593" s="15" t="n">
        <x:f>INDEX('Respondents'!$B$2:$B$121,MATCH(A593,'Respondents'!$A$2:$A$121,0))</x:f>
        <x:v>4</x:v>
      </x:c>
    </x:row>
    <x:row r="594">
      <x:c r="A594" s="14" t="n">
        <x:v>119</x:v>
      </x:c>
      <x:c r="B594" s="14" t="n">
        <x:v>3</x:v>
      </x:c>
      <x:c r="C594" s="14" t="n">
        <x:v>0</x:v>
      </x:c>
      <x:c r="D594" s="15" t="n">
        <x:f>IF(AND(C594=1,INDEX('Respondents'!$C$2:$C$121,MATCH(A594,'Respondents'!$A$2:$A$121,0))&gt;=INDEX('Strategies'!$C$2:$C$6,MATCH(B594,'Strategies'!$A$2:$A$6,0))),1,0)</x:f>
        <x:v>0</x:v>
      </x:c>
      <x:c r="E594" s="15" t="n">
        <x:f>INDEX('Respondents'!$B$2:$B$121,MATCH(A594,'Respondents'!$A$2:$A$121,0))</x:f>
        <x:v>4</x:v>
      </x:c>
    </x:row>
    <x:row r="595">
      <x:c r="A595" s="14" t="n">
        <x:v>119</x:v>
      </x:c>
      <x:c r="B595" s="14" t="n">
        <x:v>4</x:v>
      </x:c>
      <x:c r="C595" s="14" t="n">
        <x:v>1</x:v>
      </x:c>
      <x:c r="D595" s="15" t="n">
        <x:f>IF(AND(C595=1,INDEX('Respondents'!$C$2:$C$121,MATCH(A595,'Respondents'!$A$2:$A$121,0))&gt;=INDEX('Strategies'!$C$2:$C$6,MATCH(B595,'Strategies'!$A$2:$A$6,0))),1,0)</x:f>
        <x:v>0</x:v>
      </x:c>
      <x:c r="E595" s="15" t="n">
        <x:f>INDEX('Respondents'!$B$2:$B$121,MATCH(A595,'Respondents'!$A$2:$A$121,0))</x:f>
        <x:v>4</x:v>
      </x:c>
    </x:row>
    <x:row r="596">
      <x:c r="A596" s="14" t="n">
        <x:v>119</x:v>
      </x:c>
      <x:c r="B596" s="14" t="n">
        <x:v>5</x:v>
      </x:c>
      <x:c r="C596" s="14" t="n">
        <x:v>0</x:v>
      </x:c>
      <x:c r="D596" s="15" t="n">
        <x:f>IF(AND(C596=1,INDEX('Respondents'!$C$2:$C$121,MATCH(A596,'Respondents'!$A$2:$A$121,0))&gt;=INDEX('Strategies'!$C$2:$C$6,MATCH(B596,'Strategies'!$A$2:$A$6,0))),1,0)</x:f>
        <x:v>0</x:v>
      </x:c>
      <x:c r="E596" s="15" t="n">
        <x:f>INDEX('Respondents'!$B$2:$B$121,MATCH(A596,'Respondents'!$A$2:$A$121,0))</x:f>
        <x:v>4</x:v>
      </x:c>
    </x:row>
    <x:row r="597">
      <x:c r="A597" s="14" t="n">
        <x:v>120</x:v>
      </x:c>
      <x:c r="B597" s="14" t="n">
        <x:v>1</x:v>
      </x:c>
      <x:c r="C597" s="14" t="n">
        <x:v>0</x:v>
      </x:c>
      <x:c r="D597" s="15" t="n">
        <x:f>IF(AND(C597=1,INDEX('Respondents'!$C$2:$C$121,MATCH(A597,'Respondents'!$A$2:$A$121,0))&gt;=INDEX('Strategies'!$C$2:$C$6,MATCH(B597,'Strategies'!$A$2:$A$6,0))),1,0)</x:f>
        <x:v>0</x:v>
      </x:c>
      <x:c r="E597" s="15" t="n">
        <x:f>INDEX('Respondents'!$B$2:$B$121,MATCH(A597,'Respondents'!$A$2:$A$121,0))</x:f>
        <x:v>4</x:v>
      </x:c>
    </x:row>
    <x:row r="598">
      <x:c r="A598" s="14" t="n">
        <x:v>120</x:v>
      </x:c>
      <x:c r="B598" s="14" t="n">
        <x:v>2</x:v>
      </x:c>
      <x:c r="C598" s="14" t="n">
        <x:v>1</x:v>
      </x:c>
      <x:c r="D598" s="15" t="n">
        <x:f>IF(AND(C598=1,INDEX('Respondents'!$C$2:$C$121,MATCH(A598,'Respondents'!$A$2:$A$121,0))&gt;=INDEX('Strategies'!$C$2:$C$6,MATCH(B598,'Strategies'!$A$2:$A$6,0))),1,0)</x:f>
        <x:v>0</x:v>
      </x:c>
      <x:c r="E598" s="15" t="n">
        <x:f>INDEX('Respondents'!$B$2:$B$121,MATCH(A598,'Respondents'!$A$2:$A$121,0))</x:f>
        <x:v>4</x:v>
      </x:c>
    </x:row>
    <x:row r="599">
      <x:c r="A599" s="14" t="n">
        <x:v>120</x:v>
      </x:c>
      <x:c r="B599" s="14" t="n">
        <x:v>3</x:v>
      </x:c>
      <x:c r="C599" s="14" t="n">
        <x:v>1</x:v>
      </x:c>
      <x:c r="D599" s="15" t="n">
        <x:f>IF(AND(C599=1,INDEX('Respondents'!$C$2:$C$121,MATCH(A599,'Respondents'!$A$2:$A$121,0))&gt;=INDEX('Strategies'!$C$2:$C$6,MATCH(B599,'Strategies'!$A$2:$A$6,0))),1,0)</x:f>
        <x:v>0</x:v>
      </x:c>
      <x:c r="E599" s="15" t="n">
        <x:f>INDEX('Respondents'!$B$2:$B$121,MATCH(A599,'Respondents'!$A$2:$A$121,0))</x:f>
        <x:v>4</x:v>
      </x:c>
    </x:row>
    <x:row r="600">
      <x:c r="A600" s="14" t="n">
        <x:v>120</x:v>
      </x:c>
      <x:c r="B600" s="14" t="n">
        <x:v>4</x:v>
      </x:c>
      <x:c r="C600" s="14" t="n">
        <x:v>1</x:v>
      </x:c>
      <x:c r="D600" s="15" t="n">
        <x:f>IF(AND(C600=1,INDEX('Respondents'!$C$2:$C$121,MATCH(A600,'Respondents'!$A$2:$A$121,0))&gt;=INDEX('Strategies'!$C$2:$C$6,MATCH(B600,'Strategies'!$A$2:$A$6,0))),1,0)</x:f>
        <x:v>0</x:v>
      </x:c>
      <x:c r="E600" s="15" t="n">
        <x:f>INDEX('Respondents'!$B$2:$B$121,MATCH(A600,'Respondents'!$A$2:$A$121,0))</x:f>
        <x:v>4</x:v>
      </x:c>
    </x:row>
    <x:row r="601">
      <x:c r="A601" s="14" t="n">
        <x:v>120</x:v>
      </x:c>
      <x:c r="B601" s="14" t="n">
        <x:v>5</x:v>
      </x:c>
      <x:c r="C601" s="14" t="n">
        <x:v>1</x:v>
      </x:c>
      <x:c r="D601" s="15" t="n">
        <x:f>IF(AND(C601=1,INDEX('Respondents'!$C$2:$C$121,MATCH(A601,'Respondents'!$A$2:$A$121,0))&gt;=INDEX('Strategies'!$C$2:$C$6,MATCH(B601,'Strategies'!$A$2:$A$6,0))),1,0)</x:f>
        <x:v>0</x:v>
      </x:c>
      <x:c r="E601" s="15" t="n">
        <x:f>INDEX('Respondents'!$B$2:$B$121,MATCH(A601,'Respondents'!$A$2:$A$121,0))</x:f>
        <x:v>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42" customHeight="1">
      <x:c r="A1" s="4" t="str">
        <x:v>strategy id</x:v>
      </x:c>
      <x:c r="B1" s="4" t="str">
        <x:v>segment id</x:v>
      </x:c>
      <x:c r="C1" s="4" t="str">
        <x:v>sample n</x:v>
      </x:c>
      <x:c r="D1" s="4" t="str">
        <x:v>interested n</x:v>
      </x:c>
      <x:c r="E1" s="4" t="str">
        <x:v>qualified n</x:v>
      </x:c>
      <x:c r="F1" s="4" t="str">
        <x:v>qualified rate</x:v>
      </x:c>
      <x:c r="G1" s="4" t="str">
        <x:v>mean wtp</x:v>
      </x:c>
      <x:c r="H1" s="4" t="str">
        <x:v>reachable buyers</x:v>
      </x:c>
      <x:c r="I1" s="4" t="str">
        <x:v>base annual units</x:v>
      </x:c>
    </x:row>
    <x:row r="2">
      <x:c r="A2" s="16" t="n">
        <x:v>1</x:v>
      </x:c>
      <x:c r="B2" s="16" t="n">
        <x:v>1</x:v>
      </x:c>
      <x:c r="C2" s="16" t="n">
        <x:f>COUNTIF('Respondents'!$B$2:$B$121,B2)</x:f>
        <x:v>30</x:v>
      </x:c>
      <x:c r="D2" s="16" t="n">
        <x:f>SUMIFS('Responses'!$C$2:$C$601,'Responses'!$B$2:$B$601,A2,'Responses'!$E$2:$E$601,B2)</x:f>
        <x:v>25</x:v>
      </x:c>
      <x:c r="E2" s="16" t="n">
        <x:f>SUMIFS('Responses'!$D$2:$D$601,'Responses'!$B$2:$B$601,A2,'Responses'!$E$2:$E$601,B2)</x:f>
        <x:v>4</x:v>
      </x:c>
      <x:c r="F2" s="10" t="n">
        <x:f>E2/C2</x:f>
        <x:v>0.13333333333333333</x:v>
      </x:c>
      <x:c r="G2" s="5" t="n">
        <x:f>SUMIF('Respondents'!$B$2:$B$121,B2,'Respondents'!$C$2:$C$121)/C2</x:f>
        <x:v>1288.3333333333333</x:v>
      </x:c>
      <x:c r="H2" s="16" t="n">
        <x:f>'Segments'!C2</x:f>
        <x:v>45000</x:v>
      </x:c>
      <x:c r="I2" s="5" t="n">
        <x:f>H2*F2*'Assumptions'!$C$2*'Strategies'!L2</x:f>
        <x:v>648</x:v>
      </x:c>
    </x:row>
    <x:row r="3">
      <x:c r="A3" s="16" t="n">
        <x:v>1</x:v>
      </x:c>
      <x:c r="B3" s="16" t="n">
        <x:v>2</x:v>
      </x:c>
      <x:c r="C3" s="16" t="n">
        <x:f>COUNTIF('Respondents'!$B$2:$B$121,B3)</x:f>
        <x:v>30</x:v>
      </x:c>
      <x:c r="D3" s="16" t="n">
        <x:f>SUMIFS('Responses'!$C$2:$C$601,'Responses'!$B$2:$B$601,A3,'Responses'!$E$2:$E$601,B3)</x:f>
        <x:v>19</x:v>
      </x:c>
      <x:c r="E3" s="16" t="n">
        <x:f>SUMIFS('Responses'!$D$2:$D$601,'Responses'!$B$2:$B$601,A3,'Responses'!$E$2:$E$601,B3)</x:f>
        <x:v>0</x:v>
      </x:c>
      <x:c r="F3" s="10" t="n">
        <x:f>E3/C3</x:f>
        <x:v>0</x:v>
      </x:c>
      <x:c r="G3" s="5" t="n">
        <x:f>SUMIF('Respondents'!$B$2:$B$121,B3,'Respondents'!$C$2:$C$121)/C3</x:f>
        <x:v>835</x:v>
      </x:c>
      <x:c r="H3" s="16" t="n">
        <x:f>'Segments'!C3</x:f>
        <x:v>55000</x:v>
      </x:c>
      <x:c r="I3" s="5" t="n">
        <x:f>H3*F3*'Assumptions'!$C$2*'Strategies'!L2</x:f>
        <x:v>0</x:v>
      </x:c>
    </x:row>
    <x:row r="4">
      <x:c r="A4" s="16" t="n">
        <x:v>1</x:v>
      </x:c>
      <x:c r="B4" s="16" t="n">
        <x:v>3</x:v>
      </x:c>
      <x:c r="C4" s="16" t="n">
        <x:f>COUNTIF('Respondents'!$B$2:$B$121,B4)</x:f>
        <x:v>30</x:v>
      </x:c>
      <x:c r="D4" s="16" t="n">
        <x:f>SUMIFS('Responses'!$C$2:$C$601,'Responses'!$B$2:$B$601,A4,'Responses'!$E$2:$E$601,B4)</x:f>
        <x:v>15</x:v>
      </x:c>
      <x:c r="E4" s="16" t="n">
        <x:f>SUMIFS('Responses'!$D$2:$D$601,'Responses'!$B$2:$B$601,A4,'Responses'!$E$2:$E$601,B4)</x:f>
        <x:v>12</x:v>
      </x:c>
      <x:c r="F4" s="10" t="n">
        <x:f>E4/C4</x:f>
        <x:v>0.4</x:v>
      </x:c>
      <x:c r="G4" s="5" t="n">
        <x:f>SUMIF('Respondents'!$B$2:$B$121,B4,'Respondents'!$C$2:$C$121)/C4</x:f>
        <x:v>2343.3333333333335</x:v>
      </x:c>
      <x:c r="H4" s="16" t="n">
        <x:f>'Segments'!C4</x:f>
        <x:v>20000</x:v>
      </x:c>
      <x:c r="I4" s="5" t="n">
        <x:f>H4*F4*'Assumptions'!$C$2*'Strategies'!L2</x:f>
        <x:v>864</x:v>
      </x:c>
    </x:row>
    <x:row r="5">
      <x:c r="A5" s="16" t="n">
        <x:v>1</x:v>
      </x:c>
      <x:c r="B5" s="16" t="n">
        <x:v>4</x:v>
      </x:c>
      <x:c r="C5" s="16" t="n">
        <x:f>COUNTIF('Respondents'!$B$2:$B$121,B5)</x:f>
        <x:v>30</x:v>
      </x:c>
      <x:c r="D5" s="16" t="n">
        <x:f>SUMIFS('Responses'!$C$2:$C$601,'Responses'!$B$2:$B$601,A5,'Responses'!$E$2:$E$601,B5)</x:f>
        <x:v>17</x:v>
      </x:c>
      <x:c r="E5" s="16" t="n">
        <x:f>SUMIFS('Responses'!$D$2:$D$601,'Responses'!$B$2:$B$601,A5,'Responses'!$E$2:$E$601,B5)</x:f>
        <x:v>0</x:v>
      </x:c>
      <x:c r="F5" s="10" t="n">
        <x:f>E5/C5</x:f>
        <x:v>0</x:v>
      </x:c>
      <x:c r="G5" s="5" t="n">
        <x:f>SUMIF('Respondents'!$B$2:$B$121,B5,'Respondents'!$C$2:$C$121)/C5</x:f>
        <x:v>595</x:v>
      </x:c>
      <x:c r="H5" s="16" t="n">
        <x:f>'Segments'!C5</x:f>
        <x:v>80000</x:v>
      </x:c>
      <x:c r="I5" s="5" t="n">
        <x:f>H5*F5*'Assumptions'!$C$2*'Strategies'!L2</x:f>
        <x:v>0</x:v>
      </x:c>
    </x:row>
    <x:row r="6">
      <x:c r="A6" s="16" t="n">
        <x:v>2</x:v>
      </x:c>
      <x:c r="B6" s="16" t="n">
        <x:v>1</x:v>
      </x:c>
      <x:c r="C6" s="16" t="n">
        <x:f>COUNTIF('Respondents'!$B$2:$B$121,B6)</x:f>
        <x:v>30</x:v>
      </x:c>
      <x:c r="D6" s="16" t="n">
        <x:f>SUMIFS('Responses'!$C$2:$C$601,'Responses'!$B$2:$B$601,A6,'Responses'!$E$2:$E$601,B6)</x:f>
        <x:v>26</x:v>
      </x:c>
      <x:c r="E6" s="16" t="n">
        <x:f>SUMIFS('Responses'!$D$2:$D$601,'Responses'!$B$2:$B$601,A6,'Responses'!$E$2:$E$601,B6)</x:f>
        <x:v>22</x:v>
      </x:c>
      <x:c r="F6" s="10" t="n">
        <x:f>E6/C6</x:f>
        <x:v>0.7333333333333333</x:v>
      </x:c>
      <x:c r="G6" s="5" t="n">
        <x:f>SUMIF('Respondents'!$B$2:$B$121,B6,'Respondents'!$C$2:$C$121)/C6</x:f>
        <x:v>1288.3333333333333</x:v>
      </x:c>
      <x:c r="H6" s="16" t="n">
        <x:f>'Segments'!C2</x:f>
        <x:v>45000</x:v>
      </x:c>
      <x:c r="I6" s="5" t="n">
        <x:f>H6*F6*'Assumptions'!$C$2*'Strategies'!L3</x:f>
        <x:v>3960</x:v>
      </x:c>
    </x:row>
    <x:row r="7">
      <x:c r="A7" s="16" t="n">
        <x:v>2</x:v>
      </x:c>
      <x:c r="B7" s="16" t="n">
        <x:v>2</x:v>
      </x:c>
      <x:c r="C7" s="16" t="n">
        <x:f>COUNTIF('Respondents'!$B$2:$B$121,B7)</x:f>
        <x:v>30</x:v>
      </x:c>
      <x:c r="D7" s="16" t="n">
        <x:f>SUMIFS('Responses'!$C$2:$C$601,'Responses'!$B$2:$B$601,A7,'Responses'!$E$2:$E$601,B7)</x:f>
        <x:v>27</x:v>
      </x:c>
      <x:c r="E7" s="16" t="n">
        <x:f>SUMIFS('Responses'!$D$2:$D$601,'Responses'!$B$2:$B$601,A7,'Responses'!$E$2:$E$601,B7)</x:f>
        <x:v>12</x:v>
      </x:c>
      <x:c r="F7" s="10" t="n">
        <x:f>E7/C7</x:f>
        <x:v>0.4</x:v>
      </x:c>
      <x:c r="G7" s="5" t="n">
        <x:f>SUMIF('Respondents'!$B$2:$B$121,B7,'Respondents'!$C$2:$C$121)/C7</x:f>
        <x:v>835</x:v>
      </x:c>
      <x:c r="H7" s="16" t="n">
        <x:f>'Segments'!C3</x:f>
        <x:v>55000</x:v>
      </x:c>
      <x:c r="I7" s="5" t="n">
        <x:f>H7*F7*'Assumptions'!$C$2*'Strategies'!L3</x:f>
        <x:v>2640</x:v>
      </x:c>
    </x:row>
    <x:row r="8">
      <x:c r="A8" s="16" t="n">
        <x:v>2</x:v>
      </x:c>
      <x:c r="B8" s="16" t="n">
        <x:v>3</x:v>
      </x:c>
      <x:c r="C8" s="16" t="n">
        <x:f>COUNTIF('Respondents'!$B$2:$B$121,B8)</x:f>
        <x:v>30</x:v>
      </x:c>
      <x:c r="D8" s="16" t="n">
        <x:f>SUMIFS('Responses'!$C$2:$C$601,'Responses'!$B$2:$B$601,A8,'Responses'!$E$2:$E$601,B8)</x:f>
        <x:v>9</x:v>
      </x:c>
      <x:c r="E8" s="16" t="n">
        <x:f>SUMIFS('Responses'!$D$2:$D$601,'Responses'!$B$2:$B$601,A8,'Responses'!$E$2:$E$601,B8)</x:f>
        <x:v>9</x:v>
      </x:c>
      <x:c r="F8" s="10" t="n">
        <x:f>E8/C8</x:f>
        <x:v>0.3</x:v>
      </x:c>
      <x:c r="G8" s="5" t="n">
        <x:f>SUMIF('Respondents'!$B$2:$B$121,B8,'Respondents'!$C$2:$C$121)/C8</x:f>
        <x:v>2343.3333333333335</x:v>
      </x:c>
      <x:c r="H8" s="16" t="n">
        <x:f>'Segments'!C4</x:f>
        <x:v>20000</x:v>
      </x:c>
      <x:c r="I8" s="5" t="n">
        <x:f>H8*F8*'Assumptions'!$C$2*'Strategies'!L3</x:f>
        <x:v>720</x:v>
      </x:c>
    </x:row>
    <x:row r="9">
      <x:c r="A9" s="16" t="n">
        <x:v>2</x:v>
      </x:c>
      <x:c r="B9" s="16" t="n">
        <x:v>4</x:v>
      </x:c>
      <x:c r="C9" s="16" t="n">
        <x:f>COUNTIF('Respondents'!$B$2:$B$121,B9)</x:f>
        <x:v>30</x:v>
      </x:c>
      <x:c r="D9" s="16" t="n">
        <x:f>SUMIFS('Responses'!$C$2:$C$601,'Responses'!$B$2:$B$601,A9,'Responses'!$E$2:$E$601,B9)</x:f>
        <x:v>21</x:v>
      </x:c>
      <x:c r="E9" s="16" t="n">
        <x:f>SUMIFS('Responses'!$D$2:$D$601,'Responses'!$B$2:$B$601,A9,'Responses'!$E$2:$E$601,B9)</x:f>
        <x:v>1</x:v>
      </x:c>
      <x:c r="F9" s="10" t="n">
        <x:f>E9/C9</x:f>
        <x:v>0.03333333333333333</x:v>
      </x:c>
      <x:c r="G9" s="5" t="n">
        <x:f>SUMIF('Respondents'!$B$2:$B$121,B9,'Respondents'!$C$2:$C$121)/C9</x:f>
        <x:v>595</x:v>
      </x:c>
      <x:c r="H9" s="16" t="n">
        <x:f>'Segments'!C5</x:f>
        <x:v>80000</x:v>
      </x:c>
      <x:c r="I9" s="5" t="n">
        <x:f>H9*F9*'Assumptions'!$C$2*'Strategies'!L3</x:f>
        <x:v>319.99999999999994</x:v>
      </x:c>
    </x:row>
    <x:row r="10">
      <x:c r="A10" s="16" t="n">
        <x:v>3</x:v>
      </x:c>
      <x:c r="B10" s="16" t="n">
        <x:v>1</x:v>
      </x:c>
      <x:c r="C10" s="16" t="n">
        <x:f>COUNTIF('Respondents'!$B$2:$B$121,B10)</x:f>
        <x:v>30</x:v>
      </x:c>
      <x:c r="D10" s="16" t="n">
        <x:f>SUMIFS('Responses'!$C$2:$C$601,'Responses'!$B$2:$B$601,A10,'Responses'!$E$2:$E$601,B10)</x:f>
        <x:v>26</x:v>
      </x:c>
      <x:c r="E10" s="16" t="n">
        <x:f>SUMIFS('Responses'!$D$2:$D$601,'Responses'!$B$2:$B$601,A10,'Responses'!$E$2:$E$601,B10)</x:f>
        <x:v>13</x:v>
      </x:c>
      <x:c r="F10" s="10" t="n">
        <x:f>E10/C10</x:f>
        <x:v>0.43333333333333335</x:v>
      </x:c>
      <x:c r="G10" s="5" t="n">
        <x:f>SUMIF('Respondents'!$B$2:$B$121,B10,'Respondents'!$C$2:$C$121)/C10</x:f>
        <x:v>1288.3333333333333</x:v>
      </x:c>
      <x:c r="H10" s="16" t="n">
        <x:f>'Segments'!C2</x:f>
        <x:v>45000</x:v>
      </x:c>
      <x:c r="I10" s="5" t="n">
        <x:f>H10*F10*'Assumptions'!$C$2*'Strategies'!L4</x:f>
        <x:v>2457</x:v>
      </x:c>
    </x:row>
    <x:row r="11">
      <x:c r="A11" s="16" t="n">
        <x:v>3</x:v>
      </x:c>
      <x:c r="B11" s="16" t="n">
        <x:v>2</x:v>
      </x:c>
      <x:c r="C11" s="16" t="n">
        <x:f>COUNTIF('Respondents'!$B$2:$B$121,B11)</x:f>
        <x:v>30</x:v>
      </x:c>
      <x:c r="D11" s="16" t="n">
        <x:f>SUMIFS('Responses'!$C$2:$C$601,'Responses'!$B$2:$B$601,A11,'Responses'!$E$2:$E$601,B11)</x:f>
        <x:v>26</x:v>
      </x:c>
      <x:c r="E11" s="16" t="n">
        <x:f>SUMIFS('Responses'!$D$2:$D$601,'Responses'!$B$2:$B$601,A11,'Responses'!$E$2:$E$601,B11)</x:f>
        <x:v>0</x:v>
      </x:c>
      <x:c r="F11" s="10" t="n">
        <x:f>E11/C11</x:f>
        <x:v>0</x:v>
      </x:c>
      <x:c r="G11" s="5" t="n">
        <x:f>SUMIF('Respondents'!$B$2:$B$121,B11,'Respondents'!$C$2:$C$121)/C11</x:f>
        <x:v>835</x:v>
      </x:c>
      <x:c r="H11" s="16" t="n">
        <x:f>'Segments'!C3</x:f>
        <x:v>55000</x:v>
      </x:c>
      <x:c r="I11" s="5" t="n">
        <x:f>H11*F11*'Assumptions'!$C$2*'Strategies'!L4</x:f>
        <x:v>0</x:v>
      </x:c>
    </x:row>
    <x:row r="12">
      <x:c r="A12" s="16" t="n">
        <x:v>3</x:v>
      </x:c>
      <x:c r="B12" s="16" t="n">
        <x:v>3</x:v>
      </x:c>
      <x:c r="C12" s="16" t="n">
        <x:f>COUNTIF('Respondents'!$B$2:$B$121,B12)</x:f>
        <x:v>30</x:v>
      </x:c>
      <x:c r="D12" s="16" t="n">
        <x:f>SUMIFS('Responses'!$C$2:$C$601,'Responses'!$B$2:$B$601,A12,'Responses'!$E$2:$E$601,B12)</x:f>
        <x:v>13</x:v>
      </x:c>
      <x:c r="E12" s="16" t="n">
        <x:f>SUMIFS('Responses'!$D$2:$D$601,'Responses'!$B$2:$B$601,A12,'Responses'!$E$2:$E$601,B12)</x:f>
        <x:v>12</x:v>
      </x:c>
      <x:c r="F12" s="10" t="n">
        <x:f>E12/C12</x:f>
        <x:v>0.4</x:v>
      </x:c>
      <x:c r="G12" s="5" t="n">
        <x:f>SUMIF('Respondents'!$B$2:$B$121,B12,'Respondents'!$C$2:$C$121)/C12</x:f>
        <x:v>2343.3333333333335</x:v>
      </x:c>
      <x:c r="H12" s="16" t="n">
        <x:f>'Segments'!C4</x:f>
        <x:v>20000</x:v>
      </x:c>
      <x:c r="I12" s="5" t="n">
        <x:f>H12*F12*'Assumptions'!$C$2*'Strategies'!L4</x:f>
        <x:v>1008</x:v>
      </x:c>
    </x:row>
    <x:row r="13">
      <x:c r="A13" s="16" t="n">
        <x:v>3</x:v>
      </x:c>
      <x:c r="B13" s="16" t="n">
        <x:v>4</x:v>
      </x:c>
      <x:c r="C13" s="16" t="n">
        <x:f>COUNTIF('Respondents'!$B$2:$B$121,B13)</x:f>
        <x:v>30</x:v>
      </x:c>
      <x:c r="D13" s="16" t="n">
        <x:f>SUMIFS('Responses'!$C$2:$C$601,'Responses'!$B$2:$B$601,A13,'Responses'!$E$2:$E$601,B13)</x:f>
        <x:v>23</x:v>
      </x:c>
      <x:c r="E13" s="16" t="n">
        <x:f>SUMIFS('Responses'!$D$2:$D$601,'Responses'!$B$2:$B$601,A13,'Responses'!$E$2:$E$601,B13)</x:f>
        <x:v>0</x:v>
      </x:c>
      <x:c r="F13" s="10" t="n">
        <x:f>E13/C13</x:f>
        <x:v>0</x:v>
      </x:c>
      <x:c r="G13" s="5" t="n">
        <x:f>SUMIF('Respondents'!$B$2:$B$121,B13,'Respondents'!$C$2:$C$121)/C13</x:f>
        <x:v>595</x:v>
      </x:c>
      <x:c r="H13" s="16" t="n">
        <x:f>'Segments'!C5</x:f>
        <x:v>80000</x:v>
      </x:c>
      <x:c r="I13" s="5" t="n">
        <x:f>H13*F13*'Assumptions'!$C$2*'Strategies'!L4</x:f>
        <x:v>0</x:v>
      </x:c>
    </x:row>
    <x:row r="14">
      <x:c r="A14" s="16" t="n">
        <x:v>4</x:v>
      </x:c>
      <x:c r="B14" s="16" t="n">
        <x:v>1</x:v>
      </x:c>
      <x:c r="C14" s="16" t="n">
        <x:f>COUNTIF('Respondents'!$B$2:$B$121,B14)</x:f>
        <x:v>30</x:v>
      </x:c>
      <x:c r="D14" s="16" t="n">
        <x:f>SUMIFS('Responses'!$C$2:$C$601,'Responses'!$B$2:$B$601,A14,'Responses'!$E$2:$E$601,B14)</x:f>
        <x:v>21</x:v>
      </x:c>
      <x:c r="E14" s="16" t="n">
        <x:f>SUMIFS('Responses'!$D$2:$D$601,'Responses'!$B$2:$B$601,A14,'Responses'!$E$2:$E$601,B14)</x:f>
        <x:v>20</x:v>
      </x:c>
      <x:c r="F14" s="10" t="n">
        <x:f>E14/C14</x:f>
        <x:v>0.6666666666666666</x:v>
      </x:c>
      <x:c r="G14" s="5" t="n">
        <x:f>SUMIF('Respondents'!$B$2:$B$121,B14,'Respondents'!$C$2:$C$121)/C14</x:f>
        <x:v>1288.3333333333333</x:v>
      </x:c>
      <x:c r="H14" s="16" t="n">
        <x:f>'Segments'!C2</x:f>
        <x:v>45000</x:v>
      </x:c>
      <x:c r="I14" s="5" t="n">
        <x:f>H14*F14*'Assumptions'!$C$2*'Strategies'!L5</x:f>
        <x:v>4320</x:v>
      </x:c>
    </x:row>
    <x:row r="15">
      <x:c r="A15" s="16" t="n">
        <x:v>4</x:v>
      </x:c>
      <x:c r="B15" s="16" t="n">
        <x:v>2</x:v>
      </x:c>
      <x:c r="C15" s="16" t="n">
        <x:f>COUNTIF('Respondents'!$B$2:$B$121,B15)</x:f>
        <x:v>30</x:v>
      </x:c>
      <x:c r="D15" s="16" t="n">
        <x:f>SUMIFS('Responses'!$C$2:$C$601,'Responses'!$B$2:$B$601,A15,'Responses'!$E$2:$E$601,B15)</x:f>
        <x:v>27</x:v>
      </x:c>
      <x:c r="E15" s="16" t="n">
        <x:f>SUMIFS('Responses'!$D$2:$D$601,'Responses'!$B$2:$B$601,A15,'Responses'!$E$2:$E$601,B15)</x:f>
        <x:v>17</x:v>
      </x:c>
      <x:c r="F15" s="10" t="n">
        <x:f>E15/C15</x:f>
        <x:v>0.5666666666666667</x:v>
      </x:c>
      <x:c r="G15" s="5" t="n">
        <x:f>SUMIF('Respondents'!$B$2:$B$121,B15,'Respondents'!$C$2:$C$121)/C15</x:f>
        <x:v>835</x:v>
      </x:c>
      <x:c r="H15" s="16" t="n">
        <x:f>'Segments'!C3</x:f>
        <x:v>55000</x:v>
      </x:c>
      <x:c r="I15" s="5" t="n">
        <x:f>H15*F15*'Assumptions'!$C$2*'Strategies'!L5</x:f>
        <x:v>4487.999999999999</x:v>
      </x:c>
    </x:row>
    <x:row r="16">
      <x:c r="A16" s="16" t="n">
        <x:v>4</x:v>
      </x:c>
      <x:c r="B16" s="16" t="n">
        <x:v>3</x:v>
      </x:c>
      <x:c r="C16" s="16" t="n">
        <x:f>COUNTIF('Respondents'!$B$2:$B$121,B16)</x:f>
        <x:v>30</x:v>
      </x:c>
      <x:c r="D16" s="16" t="n">
        <x:f>SUMIFS('Responses'!$C$2:$C$601,'Responses'!$B$2:$B$601,A16,'Responses'!$E$2:$E$601,B16)</x:f>
        <x:v>7</x:v>
      </x:c>
      <x:c r="E16" s="16" t="n">
        <x:f>SUMIFS('Responses'!$D$2:$D$601,'Responses'!$B$2:$B$601,A16,'Responses'!$E$2:$E$601,B16)</x:f>
        <x:v>7</x:v>
      </x:c>
      <x:c r="F16" s="10" t="n">
        <x:f>E16/C16</x:f>
        <x:v>0.23333333333333334</x:v>
      </x:c>
      <x:c r="G16" s="5" t="n">
        <x:f>SUMIF('Respondents'!$B$2:$B$121,B16,'Respondents'!$C$2:$C$121)/C16</x:f>
        <x:v>2343.3333333333335</x:v>
      </x:c>
      <x:c r="H16" s="16" t="n">
        <x:f>'Segments'!C4</x:f>
        <x:v>20000</x:v>
      </x:c>
      <x:c r="I16" s="5" t="n">
        <x:f>H16*F16*'Assumptions'!$C$2*'Strategies'!L5</x:f>
        <x:v>672</x:v>
      </x:c>
    </x:row>
    <x:row r="17">
      <x:c r="A17" s="16" t="n">
        <x:v>4</x:v>
      </x:c>
      <x:c r="B17" s="16" t="n">
        <x:v>4</x:v>
      </x:c>
      <x:c r="C17" s="16" t="n">
        <x:f>COUNTIF('Respondents'!$B$2:$B$121,B17)</x:f>
        <x:v>30</x:v>
      </x:c>
      <x:c r="D17" s="16" t="n">
        <x:f>SUMIFS('Responses'!$C$2:$C$601,'Responses'!$B$2:$B$601,A17,'Responses'!$E$2:$E$601,B17)</x:f>
        <x:v>25</x:v>
      </x:c>
      <x:c r="E17" s="16" t="n">
        <x:f>SUMIFS('Responses'!$D$2:$D$601,'Responses'!$B$2:$B$601,A17,'Responses'!$E$2:$E$601,B17)</x:f>
        <x:v>5</x:v>
      </x:c>
      <x:c r="F17" s="10" t="n">
        <x:f>E17/C17</x:f>
        <x:v>0.16666666666666666</x:v>
      </x:c>
      <x:c r="G17" s="5" t="n">
        <x:f>SUMIF('Respondents'!$B$2:$B$121,B17,'Respondents'!$C$2:$C$121)/C17</x:f>
        <x:v>595</x:v>
      </x:c>
      <x:c r="H17" s="16" t="n">
        <x:f>'Segments'!C5</x:f>
        <x:v>80000</x:v>
      </x:c>
      <x:c r="I17" s="5" t="n">
        <x:f>H17*F17*'Assumptions'!$C$2*'Strategies'!L5</x:f>
        <x:v>1919.9999999999995</x:v>
      </x:c>
    </x:row>
    <x:row r="18">
      <x:c r="A18" s="16" t="n">
        <x:v>5</x:v>
      </x:c>
      <x:c r="B18" s="16" t="n">
        <x:v>1</x:v>
      </x:c>
      <x:c r="C18" s="16" t="n">
        <x:f>COUNTIF('Respondents'!$B$2:$B$121,B18)</x:f>
        <x:v>30</x:v>
      </x:c>
      <x:c r="D18" s="16" t="n">
        <x:f>SUMIFS('Responses'!$C$2:$C$601,'Responses'!$B$2:$B$601,A18,'Responses'!$E$2:$E$601,B18)</x:f>
        <x:v>21</x:v>
      </x:c>
      <x:c r="E18" s="16" t="n">
        <x:f>SUMIFS('Responses'!$D$2:$D$601,'Responses'!$B$2:$B$601,A18,'Responses'!$E$2:$E$601,B18)</x:f>
        <x:v>6</x:v>
      </x:c>
      <x:c r="F18" s="10" t="n">
        <x:f>E18/C18</x:f>
        <x:v>0.2</x:v>
      </x:c>
      <x:c r="G18" s="5" t="n">
        <x:f>SUMIF('Respondents'!$B$2:$B$121,B18,'Respondents'!$C$2:$C$121)/C18</x:f>
        <x:v>1288.3333333333333</x:v>
      </x:c>
      <x:c r="H18" s="16" t="n">
        <x:f>'Segments'!C2</x:f>
        <x:v>45000</x:v>
      </x:c>
      <x:c r="I18" s="5" t="n">
        <x:f>H18*F18*'Assumptions'!$C$2*'Strategies'!L6</x:f>
        <x:v>918</x:v>
      </x:c>
    </x:row>
    <x:row r="19">
      <x:c r="A19" s="16" t="n">
        <x:v>5</x:v>
      </x:c>
      <x:c r="B19" s="16" t="n">
        <x:v>2</x:v>
      </x:c>
      <x:c r="C19" s="16" t="n">
        <x:f>COUNTIF('Respondents'!$B$2:$B$121,B19)</x:f>
        <x:v>30</x:v>
      </x:c>
      <x:c r="D19" s="16" t="n">
        <x:f>SUMIFS('Responses'!$C$2:$C$601,'Responses'!$B$2:$B$601,A19,'Responses'!$E$2:$E$601,B19)</x:f>
        <x:v>26</x:v>
      </x:c>
      <x:c r="E19" s="16" t="n">
        <x:f>SUMIFS('Responses'!$D$2:$D$601,'Responses'!$B$2:$B$601,A19,'Responses'!$E$2:$E$601,B19)</x:f>
        <x:v>0</x:v>
      </x:c>
      <x:c r="F19" s="10" t="n">
        <x:f>E19/C19</x:f>
        <x:v>0</x:v>
      </x:c>
      <x:c r="G19" s="5" t="n">
        <x:f>SUMIF('Respondents'!$B$2:$B$121,B19,'Respondents'!$C$2:$C$121)/C19</x:f>
        <x:v>835</x:v>
      </x:c>
      <x:c r="H19" s="16" t="n">
        <x:f>'Segments'!C3</x:f>
        <x:v>55000</x:v>
      </x:c>
      <x:c r="I19" s="5" t="n">
        <x:f>H19*F19*'Assumptions'!$C$2*'Strategies'!L6</x:f>
        <x:v>0</x:v>
      </x:c>
    </x:row>
    <x:row r="20">
      <x:c r="A20" s="16" t="n">
        <x:v>5</x:v>
      </x:c>
      <x:c r="B20" s="16" t="n">
        <x:v>3</x:v>
      </x:c>
      <x:c r="C20" s="16" t="n">
        <x:f>COUNTIF('Respondents'!$B$2:$B$121,B20)</x:f>
        <x:v>30</x:v>
      </x:c>
      <x:c r="D20" s="16" t="n">
        <x:f>SUMIFS('Responses'!$C$2:$C$601,'Responses'!$B$2:$B$601,A20,'Responses'!$E$2:$E$601,B20)</x:f>
        <x:v>20</x:v>
      </x:c>
      <x:c r="E20" s="16" t="n">
        <x:f>SUMIFS('Responses'!$D$2:$D$601,'Responses'!$B$2:$B$601,A20,'Responses'!$E$2:$E$601,B20)</x:f>
        <x:v>17</x:v>
      </x:c>
      <x:c r="F20" s="10" t="n">
        <x:f>E20/C20</x:f>
        <x:v>0.5666666666666667</x:v>
      </x:c>
      <x:c r="G20" s="5" t="n">
        <x:f>SUMIF('Respondents'!$B$2:$B$121,B20,'Respondents'!$C$2:$C$121)/C20</x:f>
        <x:v>2343.3333333333335</x:v>
      </x:c>
      <x:c r="H20" s="16" t="n">
        <x:f>'Segments'!C4</x:f>
        <x:v>20000</x:v>
      </x:c>
      <x:c r="I20" s="5" t="n">
        <x:f>H20*F20*'Assumptions'!$C$2*'Strategies'!L6</x:f>
        <x:v>1156</x:v>
      </x:c>
    </x:row>
    <x:row r="21">
      <x:c r="A21" s="16" t="n">
        <x:v>5</x:v>
      </x:c>
      <x:c r="B21" s="16" t="n">
        <x:v>4</x:v>
      </x:c>
      <x:c r="C21" s="16" t="n">
        <x:f>COUNTIF('Respondents'!$B$2:$B$121,B21)</x:f>
        <x:v>30</x:v>
      </x:c>
      <x:c r="D21" s="16" t="n">
        <x:f>SUMIFS('Responses'!$C$2:$C$601,'Responses'!$B$2:$B$601,A21,'Responses'!$E$2:$E$601,B21)</x:f>
        <x:v>21</x:v>
      </x:c>
      <x:c r="E21" s="16" t="n">
        <x:f>SUMIFS('Responses'!$D$2:$D$601,'Responses'!$B$2:$B$601,A21,'Responses'!$E$2:$E$601,B21)</x:f>
        <x:v>0</x:v>
      </x:c>
      <x:c r="F21" s="10" t="n">
        <x:f>E21/C21</x:f>
        <x:v>0</x:v>
      </x:c>
      <x:c r="G21" s="5" t="n">
        <x:f>SUMIF('Respondents'!$B$2:$B$121,B21,'Respondents'!$C$2:$C$121)/C21</x:f>
        <x:v>595</x:v>
      </x:c>
      <x:c r="H21" s="16" t="n">
        <x:f>'Segments'!C5</x:f>
        <x:v>80000</x:v>
      </x:c>
      <x:c r="I21" s="5" t="n">
        <x:f>H21*F21*'Assumptions'!$C$2*'Strategies'!L6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42" customHeight="1">
      <x:c r="A1" s="4" t="str">
        <x:v>strategy id</x:v>
      </x:c>
      <x:c r="B1" s="4" t="str">
        <x:v>scenario id</x:v>
      </x:c>
      <x:c r="C1" s="4" t="str">
        <x:v>year</x:v>
      </x:c>
      <x:c r="D1" s="4" t="str">
        <x:v>period</x:v>
      </x:c>
      <x:c r="E1" s="4" t="str">
        <x:v>units</x:v>
      </x:c>
      <x:c r="F1" s="4" t="str">
        <x:v>revenue</x:v>
      </x:c>
      <x:c r="G1" s="4" t="str">
        <x:v>variable cost</x:v>
      </x:c>
      <x:c r="H1" s="4" t="str">
        <x:v>fixed cost</x:v>
      </x:c>
      <x:c r="I1" s="4" t="str">
        <x:v>lost mechanical units</x:v>
      </x:c>
      <x:c r="J1" s="4" t="str">
        <x:v>cannibalization loss</x:v>
      </x:c>
      <x:c r="K1" s="4" t="str">
        <x:v>brand loss</x:v>
      </x:c>
      <x:c r="L1" s="4" t="str">
        <x:v>operating cash</x:v>
      </x:c>
      <x:c r="M1" s="4" t="str">
        <x:v>discounted cash</x:v>
      </x:c>
      <x:c r="N1" s="4" t="str">
        <x:v>cannibalization pct</x:v>
      </x:c>
      <x:c r="O1" s="4" t="str">
        <x:v>brand haircut</x:v>
      </x:c>
    </x:row>
    <x:row r="2">
      <x:c r="A2" s="16" t="n">
        <x:v>1</x:v>
      </x:c>
      <x:c r="B2" s="16" t="n">
        <x:v>1</x:v>
      </x:c>
      <x:c r="C2" s="16" t="n">
        <x:v>2027</x:v>
      </x:c>
      <x:c r="D2" s="16" t="n">
        <x:v>1</x:v>
      </x:c>
      <x:c r="E2" s="16" t="n">
        <x:f>ROUND(SUMIF('Segment analysis'!$A$2:$A$21,A2,'Segment analysis'!$I$2:$I$21)*'Scenarios'!C2*'Years'!C2,0)</x:f>
        <x:v>635</x:v>
      </x:c>
      <x:c r="F2" s="5" t="n">
        <x:f>E2*'Strategies'!C2*'Strategies'!D2</x:f>
        <x:v>982980</x:v>
      </x:c>
      <x:c r="G2" s="5" t="n">
        <x:f>E2*SUM('Strategies'!E2:G2)*'Scenarios'!D2</x:f>
        <x:v>565785</x:v>
      </x:c>
      <x:c r="H2" s="5" t="n">
        <x:f>'Strategies'!I2</x:f>
        <x:v>1500000</x:v>
      </x:c>
      <x:c r="I2" s="5" t="n">
        <x:f>E2*'Strategies'!J2*'Scenarios'!E2</x:f>
        <x:v>57.150000000000006</x:v>
      </x:c>
      <x:c r="J2" s="5" t="n">
        <x:f>I2*'Assumptions'!$E$2*'Assumptions'!$F$2</x:f>
        <x:v>222885.00000000006</x:v>
      </x:c>
      <x:c r="K2" s="5" t="n">
        <x:f>('Assumptions'!$D$2-I2)*'Assumptions'!$E$2*'Assumptions'!$F$2*O2</x:f>
        <x:v>872485.0875</x:v>
      </x:c>
      <x:c r="L2" s="5" t="n">
        <x:f>F2-G2-H2-J2-K2</x:f>
        <x:v>-2178175.0875</x:v>
      </x:c>
      <x:c r="M2" s="5" t="n">
        <x:f>L2/(1+'Assumptions'!$B$2)^D2</x:f>
        <x:v>-1944799.1852678568</x:v>
      </x:c>
      <x:c r="N2" s="10" t="n">
        <x:f>I2/'Assumptions'!$D$2</x:f>
        <x:v>0.0057150000000000005</x:v>
      </x:c>
      <x:c r="O2" s="10" t="n">
        <x:f>'Strategies'!K2*'Scenarios'!E2</x:f>
        <x:v>0.0225</x:v>
      </x:c>
    </x:row>
    <x:row r="3">
      <x:c r="A3" s="16" t="n">
        <x:v>1</x:v>
      </x:c>
      <x:c r="B3" s="16" t="n">
        <x:v>1</x:v>
      </x:c>
      <x:c r="C3" s="16" t="n">
        <x:v>2028</x:v>
      </x:c>
      <x:c r="D3" s="16" t="n">
        <x:v>2</x:v>
      </x:c>
      <x:c r="E3" s="16" t="n">
        <x:f>ROUND(SUMIF('Segment analysis'!$A$2:$A$21,A3,'Segment analysis'!$I$2:$I$21)*'Scenarios'!C2*'Years'!C3,0)</x:f>
        <x:v>1058</x:v>
      </x:c>
      <x:c r="F3" s="5" t="n">
        <x:f>E3*'Strategies'!C2*'Strategies'!D2</x:f>
        <x:v>1637784</x:v>
      </x:c>
      <x:c r="G3" s="5" t="n">
        <x:f>E3*SUM('Strategies'!E2:G2)*'Scenarios'!D2</x:f>
        <x:v>942678.0000000001</x:v>
      </x:c>
      <x:c r="H3" s="5" t="n">
        <x:f>'Strategies'!I2</x:f>
        <x:v>1500000</x:v>
      </x:c>
      <x:c r="I3" s="5" t="n">
        <x:f>E3*'Strategies'!J2*'Scenarios'!E2</x:f>
        <x:v>95.22</x:v>
      </x:c>
      <x:c r="J3" s="5" t="n">
        <x:f>I3*'Assumptions'!$E$2*'Assumptions'!$F$2</x:f>
        <x:v>371358</x:v>
      </x:c>
      <x:c r="K3" s="5" t="n">
        <x:f>('Assumptions'!$D$2-I3)*'Assumptions'!$E$2*'Assumptions'!$F$2*O3</x:f>
        <x:v>869144.4450000002</x:v>
      </x:c>
      <x:c r="L3" s="5" t="n">
        <x:f>F3-G3-H3-J3-K3</x:f>
        <x:v>-2045396.4450000003</x:v>
      </x:c>
      <x:c r="M3" s="5" t="n">
        <x:f>L3/(1+'Assumptions'!$B$2)^D3</x:f>
        <x:v>-1630577.5231186224</x:v>
      </x:c>
      <x:c r="N3" s="10" t="n">
        <x:f>I3/'Assumptions'!$D$2</x:f>
        <x:v>0.009522</x:v>
      </x:c>
      <x:c r="O3" s="10" t="n">
        <x:f>'Strategies'!K2*'Scenarios'!E2</x:f>
        <x:v>0.0225</x:v>
      </x:c>
    </x:row>
    <x:row r="4">
      <x:c r="A4" s="16" t="n">
        <x:v>1</x:v>
      </x:c>
      <x:c r="B4" s="16" t="n">
        <x:v>1</x:v>
      </x:c>
      <x:c r="C4" s="16" t="n">
        <x:v>2029</x:v>
      </x:c>
      <x:c r="D4" s="16" t="n">
        <x:v>3</x:v>
      </x:c>
      <x:c r="E4" s="16" t="n">
        <x:f>ROUND(SUMIF('Segment analysis'!$A$2:$A$21,A4,'Segment analysis'!$I$2:$I$21)*'Scenarios'!C2*'Years'!C4,0)</x:f>
        <x:v>1376</x:v>
      </x:c>
      <x:c r="F4" s="5" t="n">
        <x:f>E4*'Strategies'!C2*'Strategies'!D2</x:f>
        <x:v>2130048</x:v>
      </x:c>
      <x:c r="G4" s="5" t="n">
        <x:f>E4*SUM('Strategies'!E2:G2)*'Scenarios'!D2</x:f>
        <x:v>1226016</x:v>
      </x:c>
      <x:c r="H4" s="5" t="n">
        <x:f>'Strategies'!I2</x:f>
        <x:v>1500000</x:v>
      </x:c>
      <x:c r="I4" s="5" t="n">
        <x:f>E4*'Strategies'!J2*'Scenarios'!E2</x:f>
        <x:v>123.84</x:v>
      </x:c>
      <x:c r="J4" s="5" t="n">
        <x:f>I4*'Assumptions'!$E$2*'Assumptions'!$F$2</x:f>
        <x:v>482976</x:v>
      </x:c>
      <x:c r="K4" s="5" t="n">
        <x:f>('Assumptions'!$D$2-I4)*'Assumptions'!$E$2*'Assumptions'!$F$2*O4</x:f>
        <x:v>866633.0399999999</x:v>
      </x:c>
      <x:c r="L4" s="5" t="n">
        <x:f>F4-G4-H4-J4-K4</x:f>
        <x:v>-1945577.04</x:v>
      </x:c>
      <x:c r="M4" s="5" t="n">
        <x:f>L4/(1+'Assumptions'!$B$2)^D4</x:f>
        <x:v>-1384823.3076712824</x:v>
      </x:c>
      <x:c r="N4" s="10" t="n">
        <x:f>I4/'Assumptions'!$D$2</x:f>
        <x:v>0.012384000000000001</x:v>
      </x:c>
      <x:c r="O4" s="10" t="n">
        <x:f>'Strategies'!K2*'Scenarios'!E2</x:f>
        <x:v>0.0225</x:v>
      </x:c>
    </x:row>
    <x:row r="5">
      <x:c r="A5" s="16" t="n">
        <x:v>1</x:v>
      </x:c>
      <x:c r="B5" s="16" t="n">
        <x:v>2</x:v>
      </x:c>
      <x:c r="C5" s="16" t="n">
        <x:v>2027</x:v>
      </x:c>
      <x:c r="D5" s="16" t="n">
        <x:v>1</x:v>
      </x:c>
      <x:c r="E5" s="16" t="n">
        <x:f>ROUND(SUMIF('Segment analysis'!$A$2:$A$21,A5,'Segment analysis'!$I$2:$I$21)*'Scenarios'!C3*'Years'!C2,0)</x:f>
        <x:v>907</x:v>
      </x:c>
      <x:c r="F5" s="5" t="n">
        <x:f>E5*'Strategies'!C2*'Strategies'!D2</x:f>
        <x:v>1404036</x:v>
      </x:c>
      <x:c r="G5" s="5" t="n">
        <x:f>E5*SUM('Strategies'!E2:G2)*'Scenarios'!D3</x:f>
        <x:v>734670</x:v>
      </x:c>
      <x:c r="H5" s="5" t="n">
        <x:f>'Strategies'!I2</x:f>
        <x:v>1500000</x:v>
      </x:c>
      <x:c r="I5" s="5" t="n">
        <x:f>E5*'Strategies'!J2*'Scenarios'!E3</x:f>
        <x:v>54.419999999999995</x:v>
      </x:c>
      <x:c r="J5" s="5" t="n">
        <x:f>I5*'Assumptions'!$E$2*'Assumptions'!$F$2</x:f>
        <x:v>212237.99999999997</x:v>
      </x:c>
      <x:c r="K5" s="5" t="n">
        <x:f>('Assumptions'!$D$2-I5)*'Assumptions'!$E$2*'Assumptions'!$F$2*O5</x:f>
        <x:v>581816.4299999999</x:v>
      </x:c>
      <x:c r="L5" s="5" t="n">
        <x:f>F5-G5-H5-J5-K5</x:f>
        <x:v>-1624688.43</x:v>
      </x:c>
      <x:c r="M5" s="5" t="n">
        <x:f>L5/(1+'Assumptions'!$B$2)^D5</x:f>
        <x:v>-1450614.669642857</x:v>
      </x:c>
      <x:c r="N5" s="10" t="n">
        <x:f>I5/'Assumptions'!$D$2</x:f>
        <x:v>0.005442</x:v>
      </x:c>
      <x:c r="O5" s="10" t="n">
        <x:f>'Strategies'!K2*'Scenarios'!E3</x:f>
        <x:v>0.015</x:v>
      </x:c>
    </x:row>
    <x:row r="6">
      <x:c r="A6" s="16" t="n">
        <x:v>1</x:v>
      </x:c>
      <x:c r="B6" s="16" t="n">
        <x:v>2</x:v>
      </x:c>
      <x:c r="C6" s="16" t="n">
        <x:v>2028</x:v>
      </x:c>
      <x:c r="D6" s="16" t="n">
        <x:v>2</x:v>
      </x:c>
      <x:c r="E6" s="16" t="n">
        <x:f>ROUND(SUMIF('Segment analysis'!$A$2:$A$21,A6,'Segment analysis'!$I$2:$I$21)*'Scenarios'!C3*'Years'!C3,0)</x:f>
        <x:v>1512</x:v>
      </x:c>
      <x:c r="F6" s="5" t="n">
        <x:f>E6*'Strategies'!C2*'Strategies'!D2</x:f>
        <x:v>2340576</x:v>
      </x:c>
      <x:c r="G6" s="5" t="n">
        <x:f>E6*SUM('Strategies'!E2:G2)*'Scenarios'!D3</x:f>
        <x:v>1224720</x:v>
      </x:c>
      <x:c r="H6" s="5" t="n">
        <x:f>'Strategies'!I2</x:f>
        <x:v>1500000</x:v>
      </x:c>
      <x:c r="I6" s="5" t="n">
        <x:f>E6*'Strategies'!J2*'Scenarios'!E3</x:f>
        <x:v>90.72</x:v>
      </x:c>
      <x:c r="J6" s="5" t="n">
        <x:f>I6*'Assumptions'!$E$2*'Assumptions'!$F$2</x:f>
        <x:v>353808</x:v>
      </x:c>
      <x:c r="K6" s="5" t="n">
        <x:f>('Assumptions'!$D$2-I6)*'Assumptions'!$E$2*'Assumptions'!$F$2*O6</x:f>
        <x:v>579692.8800000001</x:v>
      </x:c>
      <x:c r="L6" s="5" t="n">
        <x:f>F6-G6-H6-J6-K6</x:f>
        <x:v>-1317644.8800000001</x:v>
      </x:c>
      <x:c r="M6" s="5" t="n">
        <x:f>L6/(1+'Assumptions'!$B$2)^D6</x:f>
        <x:v>-1050418.431122449</x:v>
      </x:c>
      <x:c r="N6" s="10" t="n">
        <x:f>I6/'Assumptions'!$D$2</x:f>
        <x:v>0.009072</x:v>
      </x:c>
      <x:c r="O6" s="10" t="n">
        <x:f>'Strategies'!K2*'Scenarios'!E3</x:f>
        <x:v>0.015</x:v>
      </x:c>
    </x:row>
    <x:row r="7">
      <x:c r="A7" s="16" t="n">
        <x:v>1</x:v>
      </x:c>
      <x:c r="B7" s="16" t="n">
        <x:v>2</x:v>
      </x:c>
      <x:c r="C7" s="16" t="n">
        <x:v>2029</x:v>
      </x:c>
      <x:c r="D7" s="16" t="n">
        <x:v>3</x:v>
      </x:c>
      <x:c r="E7" s="16" t="n">
        <x:f>ROUND(SUMIF('Segment analysis'!$A$2:$A$21,A7,'Segment analysis'!$I$2:$I$21)*'Scenarios'!C3*'Years'!C4,0)</x:f>
        <x:v>1966</x:v>
      </x:c>
      <x:c r="F7" s="5" t="n">
        <x:f>E7*'Strategies'!C2*'Strategies'!D2</x:f>
        <x:v>3043368</x:v>
      </x:c>
      <x:c r="G7" s="5" t="n">
        <x:f>E7*SUM('Strategies'!E2:G2)*'Scenarios'!D3</x:f>
        <x:v>1592460</x:v>
      </x:c>
      <x:c r="H7" s="5" t="n">
        <x:f>'Strategies'!I2</x:f>
        <x:v>1500000</x:v>
      </x:c>
      <x:c r="I7" s="5" t="n">
        <x:f>E7*'Strategies'!J2*'Scenarios'!E3</x:f>
        <x:v>117.96</x:v>
      </x:c>
      <x:c r="J7" s="5" t="n">
        <x:f>I7*'Assumptions'!$E$2*'Assumptions'!$F$2</x:f>
        <x:v>460044</x:v>
      </x:c>
      <x:c r="K7" s="5" t="n">
        <x:f>('Assumptions'!$D$2-I7)*'Assumptions'!$E$2*'Assumptions'!$F$2*O7</x:f>
        <x:v>578099.3400000001</x:v>
      </x:c>
      <x:c r="L7" s="5" t="n">
        <x:f>F7-G7-H7-J7-K7</x:f>
        <x:v>-1087235.34</x:v>
      </x:c>
      <x:c r="M7" s="5" t="n">
        <x:f>L7/(1+'Assumptions'!$B$2)^D7</x:f>
        <x:v>-773872.6397366981</x:v>
      </x:c>
      <x:c r="N7" s="10" t="n">
        <x:f>I7/'Assumptions'!$D$2</x:f>
        <x:v>0.011796</x:v>
      </x:c>
      <x:c r="O7" s="10" t="n">
        <x:f>'Strategies'!K2*'Scenarios'!E3</x:f>
        <x:v>0.015</x:v>
      </x:c>
    </x:row>
    <x:row r="8">
      <x:c r="A8" s="16" t="n">
        <x:v>1</x:v>
      </x:c>
      <x:c r="B8" s="16" t="n">
        <x:v>3</x:v>
      </x:c>
      <x:c r="C8" s="16" t="n">
        <x:v>2027</x:v>
      </x:c>
      <x:c r="D8" s="16" t="n">
        <x:v>1</x:v>
      </x:c>
      <x:c r="E8" s="16" t="n">
        <x:f>ROUND(SUMIF('Segment analysis'!$A$2:$A$21,A8,'Segment analysis'!$I$2:$I$21)*'Scenarios'!C4*'Years'!C2,0)</x:f>
        <x:v>1089</x:v>
      </x:c>
      <x:c r="F8" s="5" t="n">
        <x:f>E8*'Strategies'!C2*'Strategies'!D2</x:f>
        <x:v>1685772</x:v>
      </x:c>
      <x:c r="G8" s="5" t="n">
        <x:f>E8*SUM('Strategies'!E2:G2)*'Scenarios'!D4</x:f>
        <x:v>837985.5</x:v>
      </x:c>
      <x:c r="H8" s="5" t="n">
        <x:f>'Strategies'!I2</x:f>
        <x:v>1500000</x:v>
      </x:c>
      <x:c r="I8" s="5" t="n">
        <x:f>E8*'Strategies'!J2*'Scenarios'!E4</x:f>
        <x:v>49.005</x:v>
      </x:c>
      <x:c r="J8" s="5" t="n">
        <x:f>I8*'Assumptions'!$E$2*'Assumptions'!$F$2</x:f>
        <x:v>191119.5</x:v>
      </x:c>
      <x:c r="K8" s="5" t="n">
        <x:f>('Assumptions'!$D$2-I8)*'Assumptions'!$E$2*'Assumptions'!$F$2*O8</x:f>
        <x:v>436599.9056250001</x:v>
      </x:c>
      <x:c r="L8" s="5" t="n">
        <x:f>F8-G8-H8-J8-K8</x:f>
        <x:v>-1279932.9056250001</x:v>
      </x:c>
      <x:c r="M8" s="5" t="n">
        <x:f>L8/(1+'Assumptions'!$B$2)^D8</x:f>
        <x:v>-1142797.2371651786</x:v>
      </x:c>
      <x:c r="N8" s="10" t="n">
        <x:f>I8/'Assumptions'!$D$2</x:f>
        <x:v>0.0049005</x:v>
      </x:c>
      <x:c r="O8" s="10" t="n">
        <x:f>'Strategies'!K2*'Scenarios'!E4</x:f>
        <x:v>0.01125</x:v>
      </x:c>
    </x:row>
    <x:row r="9">
      <x:c r="A9" s="16" t="n">
        <x:v>1</x:v>
      </x:c>
      <x:c r="B9" s="16" t="n">
        <x:v>3</x:v>
      </x:c>
      <x:c r="C9" s="16" t="n">
        <x:v>2028</x:v>
      </x:c>
      <x:c r="D9" s="16" t="n">
        <x:v>2</x:v>
      </x:c>
      <x:c r="E9" s="16" t="n">
        <x:f>ROUND(SUMIF('Segment analysis'!$A$2:$A$21,A9,'Segment analysis'!$I$2:$I$21)*'Scenarios'!C4*'Years'!C3,0)</x:f>
        <x:v>1814</x:v>
      </x:c>
      <x:c r="F9" s="5" t="n">
        <x:f>E9*'Strategies'!C2*'Strategies'!D2</x:f>
        <x:v>2808072</x:v>
      </x:c>
      <x:c r="G9" s="5" t="n">
        <x:f>E9*SUM('Strategies'!E2:G2)*'Scenarios'!D4</x:f>
        <x:v>1395873</x:v>
      </x:c>
      <x:c r="H9" s="5" t="n">
        <x:f>'Strategies'!I2</x:f>
        <x:v>1500000</x:v>
      </x:c>
      <x:c r="I9" s="5" t="n">
        <x:f>E9*'Strategies'!J2*'Scenarios'!E4</x:f>
        <x:v>81.63</x:v>
      </x:c>
      <x:c r="J9" s="5" t="n">
        <x:f>I9*'Assumptions'!$E$2*'Assumptions'!$F$2</x:f>
        <x:v>318357</x:v>
      </x:c>
      <x:c r="K9" s="5" t="n">
        <x:f>('Assumptions'!$D$2-I9)*'Assumptions'!$E$2*'Assumptions'!$F$2*O9</x:f>
        <x:v>435168.4837500001</x:v>
      </x:c>
      <x:c r="L9" s="5" t="n">
        <x:f>F9-G9-H9-J9-K9</x:f>
        <x:v>-841326.4837500001</x:v>
      </x:c>
      <x:c r="M9" s="5" t="n">
        <x:f>L9/(1+'Assumptions'!$B$2)^D9</x:f>
        <x:v>-670700.321867028</x:v>
      </x:c>
      <x:c r="N9" s="10" t="n">
        <x:f>I9/'Assumptions'!$D$2</x:f>
        <x:v>0.008163</x:v>
      </x:c>
      <x:c r="O9" s="10" t="n">
        <x:f>'Strategies'!K2*'Scenarios'!E4</x:f>
        <x:v>0.01125</x:v>
      </x:c>
    </x:row>
    <x:row r="10">
      <x:c r="A10" s="16" t="n">
        <x:v>1</x:v>
      </x:c>
      <x:c r="B10" s="16" t="n">
        <x:v>3</x:v>
      </x:c>
      <x:c r="C10" s="16" t="n">
        <x:v>2029</x:v>
      </x:c>
      <x:c r="D10" s="16" t="n">
        <x:v>3</x:v>
      </x:c>
      <x:c r="E10" s="16" t="n">
        <x:f>ROUND(SUMIF('Segment analysis'!$A$2:$A$21,A10,'Segment analysis'!$I$2:$I$21)*'Scenarios'!C4*'Years'!C4,0)</x:f>
        <x:v>2359</x:v>
      </x:c>
      <x:c r="F10" s="5" t="n">
        <x:f>E10*'Strategies'!C2*'Strategies'!D2</x:f>
        <x:v>3651732</x:v>
      </x:c>
      <x:c r="G10" s="5" t="n">
        <x:f>E10*SUM('Strategies'!E2:G2)*'Scenarios'!D4</x:f>
        <x:v>1815250.5</x:v>
      </x:c>
      <x:c r="H10" s="5" t="n">
        <x:f>'Strategies'!I2</x:f>
        <x:v>1500000</x:v>
      </x:c>
      <x:c r="I10" s="5" t="n">
        <x:f>E10*'Strategies'!J2*'Scenarios'!E4</x:f>
        <x:v>106.155</x:v>
      </x:c>
      <x:c r="J10" s="5" t="n">
        <x:f>I10*'Assumptions'!$E$2*'Assumptions'!$F$2</x:f>
        <x:v>414004.5</x:v>
      </x:c>
      <x:c r="K10" s="5" t="n">
        <x:f>('Assumptions'!$D$2-I10)*'Assumptions'!$E$2*'Assumptions'!$F$2*O10</x:f>
        <x:v>434092.44937499997</x:v>
      </x:c>
      <x:c r="L10" s="5" t="n">
        <x:f>F10-G10-H10-J10-K10</x:f>
        <x:v>-511615.44937499997</x:v>
      </x:c>
      <x:c r="M10" s="5" t="n">
        <x:f>L10/(1+'Assumptions'!$B$2)^D10</x:f>
        <x:v>-364157.77134130703</x:v>
      </x:c>
      <x:c r="N10" s="10" t="n">
        <x:f>I10/'Assumptions'!$D$2</x:f>
        <x:v>0.0106155</x:v>
      </x:c>
      <x:c r="O10" s="10" t="n">
        <x:f>'Strategies'!K2*'Scenarios'!E4</x:f>
        <x:v>0.01125</x:v>
      </x:c>
    </x:row>
    <x:row r="11">
      <x:c r="A11" s="16" t="n">
        <x:v>2</x:v>
      </x:c>
      <x:c r="B11" s="16" t="n">
        <x:v>1</x:v>
      </x:c>
      <x:c r="C11" s="16" t="n">
        <x:v>2027</x:v>
      </x:c>
      <x:c r="D11" s="16" t="n">
        <x:v>1</x:v>
      </x:c>
      <x:c r="E11" s="16" t="n">
        <x:f>ROUND(SUMIF('Segment analysis'!$A$2:$A$21,A11,'Segment analysis'!$I$2:$I$21)*'Scenarios'!C2*'Years'!C2,0)</x:f>
        <x:v>3209</x:v>
      </x:c>
      <x:c r="F11" s="5" t="n">
        <x:f>E11*'Strategies'!C3*'Strategies'!D3</x:f>
        <x:v>2682724</x:v>
      </x:c>
      <x:c r="G11" s="5" t="n">
        <x:f>E11*SUM('Strategies'!E3:G3)*'Scenarios'!D2</x:f>
        <x:v>1764950.0000000002</x:v>
      </x:c>
      <x:c r="H11" s="5" t="n">
        <x:f>'Strategies'!I3</x:f>
        <x:v>1800000</x:v>
      </x:c>
      <x:c r="I11" s="5" t="n">
        <x:f>E11*'Strategies'!J3*'Scenarios'!E2</x:f>
        <x:v>57.762</x:v>
      </x:c>
      <x:c r="J11" s="5" t="n">
        <x:f>I11*'Assumptions'!$E$2*'Assumptions'!$F$2</x:f>
        <x:v>225271.80000000002</x:v>
      </x:c>
      <x:c r="K11" s="5" t="n">
        <x:f>('Assumptions'!$D$2-I11)*'Assumptions'!$E$2*'Assumptions'!$F$2*O11</x:f>
        <x:v>116324.1846</x:v>
      </x:c>
      <x:c r="L11" s="5" t="n">
        <x:f>F11-G11-H11-J11-K11</x:f>
        <x:v>-1223821.9846000003</x:v>
      </x:c>
      <x:c r="M11" s="5" t="n">
        <x:f>L11/(1+'Assumptions'!$B$2)^D11</x:f>
        <x:v>-1092698.2005357144</x:v>
      </x:c>
      <x:c r="N11" s="10" t="n">
        <x:f>I11/'Assumptions'!$D$2</x:f>
        <x:v>0.0057762</x:v>
      </x:c>
      <x:c r="O11" s="10" t="n">
        <x:f>'Strategies'!K3*'Scenarios'!E2</x:f>
        <x:v>0.003</x:v>
      </x:c>
    </x:row>
    <x:row r="12">
      <x:c r="A12" s="16" t="n">
        <x:v>2</x:v>
      </x:c>
      <x:c r="B12" s="16" t="n">
        <x:v>1</x:v>
      </x:c>
      <x:c r="C12" s="16" t="n">
        <x:v>2028</x:v>
      </x:c>
      <x:c r="D12" s="16" t="n">
        <x:v>2</x:v>
      </x:c>
      <x:c r="E12" s="16" t="n">
        <x:f>ROUND(SUMIF('Segment analysis'!$A$2:$A$21,A12,'Segment analysis'!$I$2:$I$21)*'Scenarios'!C2*'Years'!C3,0)</x:f>
        <x:v>5348</x:v>
      </x:c>
      <x:c r="F12" s="5" t="n">
        <x:f>E12*'Strategies'!C3*'Strategies'!D3</x:f>
        <x:v>4470928</x:v>
      </x:c>
      <x:c r="G12" s="5" t="n">
        <x:f>E12*SUM('Strategies'!E3:G3)*'Scenarios'!D2</x:f>
        <x:v>2941400.0000000005</x:v>
      </x:c>
      <x:c r="H12" s="5" t="n">
        <x:f>'Strategies'!I3</x:f>
        <x:v>1800000</x:v>
      </x:c>
      <x:c r="I12" s="5" t="n">
        <x:f>E12*'Strategies'!J3*'Scenarios'!E2</x:f>
        <x:v>96.26400000000001</x:v>
      </x:c>
      <x:c r="J12" s="5" t="n">
        <x:f>I12*'Assumptions'!$E$2*'Assumptions'!$F$2</x:f>
        <x:v>375429.6000000001</x:v>
      </x:c>
      <x:c r="K12" s="5" t="n">
        <x:f>('Assumptions'!$D$2-I12)*'Assumptions'!$E$2*'Assumptions'!$F$2*O12</x:f>
        <x:v>115873.71120000002</x:v>
      </x:c>
      <x:c r="L12" s="5" t="n">
        <x:f>F12-G12-H12-J12-K12</x:f>
        <x:v>-761775.3112000006</x:v>
      </x:c>
      <x:c r="M12" s="5" t="n">
        <x:f>L12/(1+'Assumptions'!$B$2)^D12</x:f>
        <x:v>-607282.6141581637</x:v>
      </x:c>
      <x:c r="N12" s="10" t="n">
        <x:f>I12/'Assumptions'!$D$2</x:f>
        <x:v>0.0096264</x:v>
      </x:c>
      <x:c r="O12" s="10" t="n">
        <x:f>'Strategies'!K3*'Scenarios'!E2</x:f>
        <x:v>0.003</x:v>
      </x:c>
    </x:row>
    <x:row r="13">
      <x:c r="A13" s="16" t="n">
        <x:v>2</x:v>
      </x:c>
      <x:c r="B13" s="16" t="n">
        <x:v>1</x:v>
      </x:c>
      <x:c r="C13" s="16" t="n">
        <x:v>2029</x:v>
      </x:c>
      <x:c r="D13" s="16" t="n">
        <x:v>3</x:v>
      </x:c>
      <x:c r="E13" s="16" t="n">
        <x:f>ROUND(SUMIF('Segment analysis'!$A$2:$A$21,A13,'Segment analysis'!$I$2:$I$21)*'Scenarios'!C2*'Years'!C4,0)</x:f>
        <x:v>6952</x:v>
      </x:c>
      <x:c r="F13" s="5" t="n">
        <x:f>E13*'Strategies'!C3*'Strategies'!D3</x:f>
        <x:v>5811872</x:v>
      </x:c>
      <x:c r="G13" s="5" t="n">
        <x:f>E13*SUM('Strategies'!E3:G3)*'Scenarios'!D2</x:f>
        <x:v>3823600.0000000005</x:v>
      </x:c>
      <x:c r="H13" s="5" t="n">
        <x:f>'Strategies'!I3</x:f>
        <x:v>1800000</x:v>
      </x:c>
      <x:c r="I13" s="5" t="n">
        <x:f>E13*'Strategies'!J3*'Scenarios'!E2</x:f>
        <x:v>125.13600000000001</x:v>
      </x:c>
      <x:c r="J13" s="5" t="n">
        <x:f>I13*'Assumptions'!$E$2*'Assumptions'!$F$2</x:f>
        <x:v>488030.4000000001</x:v>
      </x:c>
      <x:c r="K13" s="5" t="n">
        <x:f>('Assumptions'!$D$2-I13)*'Assumptions'!$E$2*'Assumptions'!$F$2*O13</x:f>
        <x:v>115535.9088</x:v>
      </x:c>
      <x:c r="L13" s="5" t="n">
        <x:f>F13-G13-H13-J13-K13</x:f>
        <x:v>-415294.3088000006</x:v>
      </x:c>
      <x:c r="M13" s="5" t="n">
        <x:f>L13/(1+'Assumptions'!$B$2)^D13</x:f>
        <x:v>-295598.2860331636</x:v>
      </x:c>
      <x:c r="N13" s="10" t="n">
        <x:f>I13/'Assumptions'!$D$2</x:f>
        <x:v>0.012513600000000001</x:v>
      </x:c>
      <x:c r="O13" s="10" t="n">
        <x:f>'Strategies'!K3*'Scenarios'!E2</x:f>
        <x:v>0.003</x:v>
      </x:c>
    </x:row>
    <x:row r="14">
      <x:c r="A14" s="16" t="n">
        <x:v>2</x:v>
      </x:c>
      <x:c r="B14" s="16" t="n">
        <x:v>2</x:v>
      </x:c>
      <x:c r="C14" s="16" t="n">
        <x:v>2027</x:v>
      </x:c>
      <x:c r="D14" s="16" t="n">
        <x:v>1</x:v>
      </x:c>
      <x:c r="E14" s="16" t="n">
        <x:f>ROUND(SUMIF('Segment analysis'!$A$2:$A$21,A14,'Segment analysis'!$I$2:$I$21)*'Scenarios'!C3*'Years'!C2,0)</x:f>
        <x:v>4584</x:v>
      </x:c>
      <x:c r="F14" s="5" t="n">
        <x:f>E14*'Strategies'!C3*'Strategies'!D3</x:f>
        <x:v>3832224</x:v>
      </x:c>
      <x:c r="G14" s="5" t="n">
        <x:f>E14*SUM('Strategies'!E3:G3)*'Scenarios'!D3</x:f>
        <x:v>2292000</x:v>
      </x:c>
      <x:c r="H14" s="5" t="n">
        <x:f>'Strategies'!I3</x:f>
        <x:v>1800000</x:v>
      </x:c>
      <x:c r="I14" s="5" t="n">
        <x:f>E14*'Strategies'!J3*'Scenarios'!E3</x:f>
        <x:v>55.008</x:v>
      </x:c>
      <x:c r="J14" s="5" t="n">
        <x:f>I14*'Assumptions'!$E$2*'Assumptions'!$F$2</x:f>
        <x:v>214531.2</x:v>
      </x:c>
      <x:c r="K14" s="5" t="n">
        <x:f>('Assumptions'!$D$2-I14)*'Assumptions'!$E$2*'Assumptions'!$F$2*O14</x:f>
        <x:v>77570.9376</x:v>
      </x:c>
      <x:c r="L14" s="5" t="n">
        <x:f>F14-G14-H14-J14-K14</x:f>
        <x:v>-551878.1376</x:v>
      </x:c>
      <x:c r="M14" s="5" t="n">
        <x:f>L14/(1+'Assumptions'!$B$2)^D14</x:f>
        <x:v>-492748.3371428571</x:v>
      </x:c>
      <x:c r="N14" s="10" t="n">
        <x:f>I14/'Assumptions'!$D$2</x:f>
        <x:v>0.0055008</x:v>
      </x:c>
      <x:c r="O14" s="10" t="n">
        <x:f>'Strategies'!K3*'Scenarios'!E3</x:f>
        <x:v>0.002</x:v>
      </x:c>
    </x:row>
    <x:row r="15">
      <x:c r="A15" s="16" t="n">
        <x:v>2</x:v>
      </x:c>
      <x:c r="B15" s="16" t="n">
        <x:v>2</x:v>
      </x:c>
      <x:c r="C15" s="16" t="n">
        <x:v>2028</x:v>
      </x:c>
      <x:c r="D15" s="16" t="n">
        <x:v>2</x:v>
      </x:c>
      <x:c r="E15" s="16" t="n">
        <x:f>ROUND(SUMIF('Segment analysis'!$A$2:$A$21,A15,'Segment analysis'!$I$2:$I$21)*'Scenarios'!C3*'Years'!C3,0)</x:f>
        <x:v>7640</x:v>
      </x:c>
      <x:c r="F15" s="5" t="n">
        <x:f>E15*'Strategies'!C3*'Strategies'!D3</x:f>
        <x:v>6387040</x:v>
      </x:c>
      <x:c r="G15" s="5" t="n">
        <x:f>E15*SUM('Strategies'!E3:G3)*'Scenarios'!D3</x:f>
        <x:v>3820000</x:v>
      </x:c>
      <x:c r="H15" s="5" t="n">
        <x:f>'Strategies'!I3</x:f>
        <x:v>1800000</x:v>
      </x:c>
      <x:c r="I15" s="5" t="n">
        <x:f>E15*'Strategies'!J3*'Scenarios'!E3</x:f>
        <x:v>91.68</x:v>
      </x:c>
      <x:c r="J15" s="5" t="n">
        <x:f>I15*'Assumptions'!$E$2*'Assumptions'!$F$2</x:f>
        <x:v>357552</x:v>
      </x:c>
      <x:c r="K15" s="5" t="n">
        <x:f>('Assumptions'!$D$2-I15)*'Assumptions'!$E$2*'Assumptions'!$F$2*O15</x:f>
        <x:v>77284.89600000001</x:v>
      </x:c>
      <x:c r="L15" s="5" t="n">
        <x:f>F15-G15-H15-J15-K15</x:f>
        <x:v>332203.104</x:v>
      </x:c>
      <x:c r="M15" s="5" t="n">
        <x:f>L15/(1+'Assumptions'!$B$2)^D15</x:f>
        <x:v>264830.28061224485</x:v>
      </x:c>
      <x:c r="N15" s="10" t="n">
        <x:f>I15/'Assumptions'!$D$2</x:f>
        <x:v>0.009168</x:v>
      </x:c>
      <x:c r="O15" s="10" t="n">
        <x:f>'Strategies'!K3*'Scenarios'!E3</x:f>
        <x:v>0.002</x:v>
      </x:c>
    </x:row>
    <x:row r="16">
      <x:c r="A16" s="16" t="n">
        <x:v>2</x:v>
      </x:c>
      <x:c r="B16" s="16" t="n">
        <x:v>2</x:v>
      </x:c>
      <x:c r="C16" s="16" t="n">
        <x:v>2029</x:v>
      </x:c>
      <x:c r="D16" s="16" t="n">
        <x:v>3</x:v>
      </x:c>
      <x:c r="E16" s="16" t="n">
        <x:f>ROUND(SUMIF('Segment analysis'!$A$2:$A$21,A16,'Segment analysis'!$I$2:$I$21)*'Scenarios'!C3*'Years'!C4,0)</x:f>
        <x:v>9932</x:v>
      </x:c>
      <x:c r="F16" s="5" t="n">
        <x:f>E16*'Strategies'!C3*'Strategies'!D3</x:f>
        <x:v>8303152</x:v>
      </x:c>
      <x:c r="G16" s="5" t="n">
        <x:f>E16*SUM('Strategies'!E3:G3)*'Scenarios'!D3</x:f>
        <x:v>4966000</x:v>
      </x:c>
      <x:c r="H16" s="5" t="n">
        <x:f>'Strategies'!I3</x:f>
        <x:v>1800000</x:v>
      </x:c>
      <x:c r="I16" s="5" t="n">
        <x:f>E16*'Strategies'!J3*'Scenarios'!E3</x:f>
        <x:v>119.184</x:v>
      </x:c>
      <x:c r="J16" s="5" t="n">
        <x:f>I16*'Assumptions'!$E$2*'Assumptions'!$F$2</x:f>
        <x:v>464817.60000000003</x:v>
      </x:c>
      <x:c r="K16" s="5" t="n">
        <x:f>('Assumptions'!$D$2-I16)*'Assumptions'!$E$2*'Assumptions'!$F$2*O16</x:f>
        <x:v>77070.36480000001</x:v>
      </x:c>
      <x:c r="L16" s="5" t="n">
        <x:f>F16-G16-H16-J16-K16</x:f>
        <x:v>995264.0351999999</x:v>
      </x:c>
      <x:c r="M16" s="5" t="n">
        <x:f>L16/(1+'Assumptions'!$B$2)^D16</x:f>
        <x:v>708409.2816144312</x:v>
      </x:c>
      <x:c r="N16" s="10" t="n">
        <x:f>I16/'Assumptions'!$D$2</x:f>
        <x:v>0.0119184</x:v>
      </x:c>
      <x:c r="O16" s="10" t="n">
        <x:f>'Strategies'!K3*'Scenarios'!E3</x:f>
        <x:v>0.002</x:v>
      </x:c>
    </x:row>
    <x:row r="17">
      <x:c r="A17" s="16" t="n">
        <x:v>2</x:v>
      </x:c>
      <x:c r="B17" s="16" t="n">
        <x:v>3</x:v>
      </x:c>
      <x:c r="C17" s="16" t="n">
        <x:v>2027</x:v>
      </x:c>
      <x:c r="D17" s="16" t="n">
        <x:v>1</x:v>
      </x:c>
      <x:c r="E17" s="16" t="n">
        <x:f>ROUND(SUMIF('Segment analysis'!$A$2:$A$21,A17,'Segment analysis'!$I$2:$I$21)*'Scenarios'!C4*'Years'!C2,0)</x:f>
        <x:v>5501</x:v>
      </x:c>
      <x:c r="F17" s="5" t="n">
        <x:f>E17*'Strategies'!C3*'Strategies'!D3</x:f>
        <x:v>4598836</x:v>
      </x:c>
      <x:c r="G17" s="5" t="n">
        <x:f>E17*SUM('Strategies'!E3:G3)*'Scenarios'!D4</x:f>
        <x:v>2612975</x:v>
      </x:c>
      <x:c r="H17" s="5" t="n">
        <x:f>'Strategies'!I3</x:f>
        <x:v>1800000</x:v>
      </x:c>
      <x:c r="I17" s="5" t="n">
        <x:f>E17*'Strategies'!J3*'Scenarios'!E4</x:f>
        <x:v>49.509</x:v>
      </x:c>
      <x:c r="J17" s="5" t="n">
        <x:f>I17*'Assumptions'!$E$2*'Assumptions'!$F$2</x:f>
        <x:v>193085.1</x:v>
      </x:c>
      <x:c r="K17" s="5" t="n">
        <x:f>('Assumptions'!$D$2-I17)*'Assumptions'!$E$2*'Assumptions'!$F$2*O17</x:f>
        <x:v>58210.37235</x:v>
      </x:c>
      <x:c r="L17" s="5" t="n">
        <x:f>F17-G17-H17-J17-K17</x:f>
        <x:v>-65434.472350000004</x:v>
      </x:c>
      <x:c r="M17" s="5" t="n">
        <x:f>L17/(1+'Assumptions'!$B$2)^D17</x:f>
        <x:v>-58423.63602678571</x:v>
      </x:c>
      <x:c r="N17" s="10" t="n">
        <x:f>I17/'Assumptions'!$D$2</x:f>
        <x:v>0.0049509</x:v>
      </x:c>
      <x:c r="O17" s="10" t="n">
        <x:f>'Strategies'!K3*'Scenarios'!E4</x:f>
        <x:v>0.0015</x:v>
      </x:c>
    </x:row>
    <x:row r="18">
      <x:c r="A18" s="16" t="n">
        <x:v>2</x:v>
      </x:c>
      <x:c r="B18" s="16" t="n">
        <x:v>3</x:v>
      </x:c>
      <x:c r="C18" s="16" t="n">
        <x:v>2028</x:v>
      </x:c>
      <x:c r="D18" s="16" t="n">
        <x:v>2</x:v>
      </x:c>
      <x:c r="E18" s="16" t="n">
        <x:f>ROUND(SUMIF('Segment analysis'!$A$2:$A$21,A18,'Segment analysis'!$I$2:$I$21)*'Scenarios'!C4*'Years'!C3,0)</x:f>
        <x:v>9168</x:v>
      </x:c>
      <x:c r="F18" s="5" t="n">
        <x:f>E18*'Strategies'!C3*'Strategies'!D3</x:f>
        <x:v>7664448</x:v>
      </x:c>
      <x:c r="G18" s="5" t="n">
        <x:f>E18*SUM('Strategies'!E3:G3)*'Scenarios'!D4</x:f>
        <x:v>4354800</x:v>
      </x:c>
      <x:c r="H18" s="5" t="n">
        <x:f>'Strategies'!I3</x:f>
        <x:v>1800000</x:v>
      </x:c>
      <x:c r="I18" s="5" t="n">
        <x:f>E18*'Strategies'!J3*'Scenarios'!E4</x:f>
        <x:v>82.512</x:v>
      </x:c>
      <x:c r="J18" s="5" t="n">
        <x:f>I18*'Assumptions'!$E$2*'Assumptions'!$F$2</x:f>
        <x:v>321796.8</x:v>
      </x:c>
      <x:c r="K18" s="5" t="n">
        <x:f>('Assumptions'!$D$2-I18)*'Assumptions'!$E$2*'Assumptions'!$F$2*O18</x:f>
        <x:v>58017.3048</x:v>
      </x:c>
      <x:c r="L18" s="5" t="n">
        <x:f>F18-G18-H18-J18-K18</x:f>
        <x:v>1129833.8952</x:v>
      </x:c>
      <x:c r="M18" s="5" t="n">
        <x:f>L18/(1+'Assumptions'!$B$2)^D18</x:f>
        <x:v>900696.6639030611</x:v>
      </x:c>
      <x:c r="N18" s="10" t="n">
        <x:f>I18/'Assumptions'!$D$2</x:f>
        <x:v>0.0082512</x:v>
      </x:c>
      <x:c r="O18" s="10" t="n">
        <x:f>'Strategies'!K3*'Scenarios'!E4</x:f>
        <x:v>0.0015</x:v>
      </x:c>
    </x:row>
    <x:row r="19">
      <x:c r="A19" s="16" t="n">
        <x:v>2</x:v>
      </x:c>
      <x:c r="B19" s="16" t="n">
        <x:v>3</x:v>
      </x:c>
      <x:c r="C19" s="16" t="n">
        <x:v>2029</x:v>
      </x:c>
      <x:c r="D19" s="16" t="n">
        <x:v>3</x:v>
      </x:c>
      <x:c r="E19" s="16" t="n">
        <x:f>ROUND(SUMIF('Segment analysis'!$A$2:$A$21,A19,'Segment analysis'!$I$2:$I$21)*'Scenarios'!C4*'Years'!C4,0)</x:f>
        <x:v>11918</x:v>
      </x:c>
      <x:c r="F19" s="5" t="n">
        <x:f>E19*'Strategies'!C3*'Strategies'!D3</x:f>
        <x:v>9963448</x:v>
      </x:c>
      <x:c r="G19" s="5" t="n">
        <x:f>E19*SUM('Strategies'!E3:G3)*'Scenarios'!D4</x:f>
        <x:v>5661050</x:v>
      </x:c>
      <x:c r="H19" s="5" t="n">
        <x:f>'Strategies'!I3</x:f>
        <x:v>1800000</x:v>
      </x:c>
      <x:c r="I19" s="5" t="n">
        <x:f>E19*'Strategies'!J3*'Scenarios'!E4</x:f>
        <x:v>107.262</x:v>
      </x:c>
      <x:c r="J19" s="5" t="n">
        <x:f>I19*'Assumptions'!$E$2*'Assumptions'!$F$2</x:f>
        <x:v>418321.8</x:v>
      </x:c>
      <x:c r="K19" s="5" t="n">
        <x:f>('Assumptions'!$D$2-I19)*'Assumptions'!$E$2*'Assumptions'!$F$2*O19</x:f>
        <x:v>57872.51729999999</x:v>
      </x:c>
      <x:c r="L19" s="5" t="n">
        <x:f>F19-G19-H19-J19-K19</x:f>
        <x:v>2026203.6827</x:v>
      </x:c>
      <x:c r="M19" s="5" t="n">
        <x:f>L19/(1+'Assumptions'!$B$2)^D19</x:f>
        <x:v>1442211.7593926517</x:v>
      </x:c>
      <x:c r="N19" s="10" t="n">
        <x:f>I19/'Assumptions'!$D$2</x:f>
        <x:v>0.0107262</x:v>
      </x:c>
      <x:c r="O19" s="10" t="n">
        <x:f>'Strategies'!K3*'Scenarios'!E4</x:f>
        <x:v>0.0015</x:v>
      </x:c>
    </x:row>
    <x:row r="20">
      <x:c r="A20" s="16" t="n">
        <x:v>3</x:v>
      </x:c>
      <x:c r="B20" s="16" t="n">
        <x:v>1</x:v>
      </x:c>
      <x:c r="C20" s="16" t="n">
        <x:v>2027</x:v>
      </x:c>
      <x:c r="D20" s="16" t="n">
        <x:v>1</x:v>
      </x:c>
      <x:c r="E20" s="16" t="n">
        <x:f>ROUND(SUMIF('Segment analysis'!$A$2:$A$21,A20,'Segment analysis'!$I$2:$I$21)*'Scenarios'!C2*'Years'!C2,0)</x:f>
        <x:v>1455</x:v>
      </x:c>
      <x:c r="F20" s="5" t="n">
        <x:f>E20*'Strategies'!C4*'Strategies'!D4</x:f>
        <x:v>1418625</x:v>
      </x:c>
      <x:c r="G20" s="5" t="n">
        <x:f>E20*SUM('Strategies'!E4:G4)*'Scenarios'!D2</x:f>
        <x:v>880275.0000000001</x:v>
      </x:c>
      <x:c r="H20" s="5" t="n">
        <x:f>'Strategies'!I4</x:f>
        <x:v>1100000</x:v>
      </x:c>
      <x:c r="I20" s="5" t="n">
        <x:f>E20*'Strategies'!J4*'Scenarios'!E2</x:f>
        <x:v>48.015</x:v>
      </x:c>
      <x:c r="J20" s="5" t="n">
        <x:f>I20*'Assumptions'!$E$2*'Assumptions'!$F$2</x:f>
        <x:v>187258.5</x:v>
      </x:c>
      <x:c r="K20" s="5" t="n">
        <x:f>('Assumptions'!$D$2-I20)*'Assumptions'!$E$2*'Assumptions'!$F$2*O20</x:f>
        <x:v>349314.67350000003</x:v>
      </x:c>
      <x:c r="L20" s="5" t="n">
        <x:f>F20-G20-H20-J20-K20</x:f>
        <x:v>-1098223.1735</x:v>
      </x:c>
      <x:c r="M20" s="5" t="n">
        <x:f>L20/(1+'Assumptions'!$B$2)^D20</x:f>
        <x:v>-980556.4049107142</x:v>
      </x:c>
      <x:c r="N20" s="10" t="n">
        <x:f>I20/'Assumptions'!$D$2</x:f>
        <x:v>0.0048015</x:v>
      </x:c>
      <x:c r="O20" s="10" t="n">
        <x:f>'Strategies'!K4*'Scenarios'!E2</x:f>
        <x:v>0.009000000000000001</x:v>
      </x:c>
    </x:row>
    <x:row r="21">
      <x:c r="A21" s="16" t="n">
        <x:v>3</x:v>
      </x:c>
      <x:c r="B21" s="16" t="n">
        <x:v>1</x:v>
      </x:c>
      <x:c r="C21" s="16" t="n">
        <x:v>2028</x:v>
      </x:c>
      <x:c r="D21" s="16" t="n">
        <x:v>2</x:v>
      </x:c>
      <x:c r="E21" s="16" t="n">
        <x:f>ROUND(SUMIF('Segment analysis'!$A$2:$A$21,A21,'Segment analysis'!$I$2:$I$21)*'Scenarios'!C2*'Years'!C3,0)</x:f>
        <x:v>2426</x:v>
      </x:c>
      <x:c r="F21" s="5" t="n">
        <x:f>E21*'Strategies'!C4*'Strategies'!D4</x:f>
        <x:v>2365350</x:v>
      </x:c>
      <x:c r="G21" s="5" t="n">
        <x:f>E21*SUM('Strategies'!E4:G4)*'Scenarios'!D2</x:f>
        <x:v>1467730.0000000002</x:v>
      </x:c>
      <x:c r="H21" s="5" t="n">
        <x:f>'Strategies'!I4</x:f>
        <x:v>1100000</x:v>
      </x:c>
      <x:c r="I21" s="5" t="n">
        <x:f>E21*'Strategies'!J4*'Scenarios'!E2</x:f>
        <x:v>80.05799999999999</x:v>
      </x:c>
      <x:c r="J21" s="5" t="n">
        <x:f>I21*'Assumptions'!$E$2*'Assumptions'!$F$2</x:f>
        <x:v>312226.19999999995</x:v>
      </x:c>
      <x:c r="K21" s="5" t="n">
        <x:f>('Assumptions'!$D$2-I21)*'Assumptions'!$E$2*'Assumptions'!$F$2*O21</x:f>
        <x:v>348189.9642</x:v>
      </x:c>
      <x:c r="L21" s="5" t="n">
        <x:f>F21-G21-H21-J21-K21</x:f>
        <x:v>-862796.1642000002</x:v>
      </x:c>
      <x:c r="M21" s="5" t="n">
        <x:f>L21/(1+'Assumptions'!$B$2)^D21</x:f>
        <x:v>-687815.819674745</x:v>
      </x:c>
      <x:c r="N21" s="10" t="n">
        <x:f>I21/'Assumptions'!$D$2</x:f>
        <x:v>0.008005799999999999</x:v>
      </x:c>
      <x:c r="O21" s="10" t="n">
        <x:f>'Strategies'!K4*'Scenarios'!E2</x:f>
        <x:v>0.009000000000000001</x:v>
      </x:c>
    </x:row>
    <x:row r="22">
      <x:c r="A22" s="16" t="n">
        <x:v>3</x:v>
      </x:c>
      <x:c r="B22" s="16" t="n">
        <x:v>1</x:v>
      </x:c>
      <x:c r="C22" s="16" t="n">
        <x:v>2029</x:v>
      </x:c>
      <x:c r="D22" s="16" t="n">
        <x:v>3</x:v>
      </x:c>
      <x:c r="E22" s="16" t="n">
        <x:f>ROUND(SUMIF('Segment analysis'!$A$2:$A$21,A22,'Segment analysis'!$I$2:$I$21)*'Scenarios'!C2*'Years'!C4,0)</x:f>
        <x:v>3153</x:v>
      </x:c>
      <x:c r="F22" s="5" t="n">
        <x:f>E22*'Strategies'!C4*'Strategies'!D4</x:f>
        <x:v>3074175</x:v>
      </x:c>
      <x:c r="G22" s="5" t="n">
        <x:f>E22*SUM('Strategies'!E4:G4)*'Scenarios'!D2</x:f>
        <x:v>1907565.0000000002</x:v>
      </x:c>
      <x:c r="H22" s="5" t="n">
        <x:f>'Strategies'!I4</x:f>
        <x:v>1100000</x:v>
      </x:c>
      <x:c r="I22" s="5" t="n">
        <x:f>E22*'Strategies'!J4*'Scenarios'!E2</x:f>
        <x:v>104.049</x:v>
      </x:c>
      <x:c r="J22" s="5" t="n">
        <x:f>I22*'Assumptions'!$E$2*'Assumptions'!$F$2</x:f>
        <x:v>405791.10000000003</x:v>
      </x:c>
      <x:c r="K22" s="5" t="n">
        <x:f>('Assumptions'!$D$2-I22)*'Assumptions'!$E$2*'Assumptions'!$F$2*O22</x:f>
        <x:v>347347.8801</x:v>
      </x:c>
      <x:c r="L22" s="5" t="n">
        <x:f>F22-G22-H22-J22-K22</x:f>
        <x:v>-686528.9801000003</x:v>
      </x:c>
      <x:c r="M22" s="5" t="n">
        <x:f>L22/(1+'Assumptions'!$B$2)^D22</x:f>
        <x:v>-488657.76758666645</x:v>
      </x:c>
      <x:c r="N22" s="10" t="n">
        <x:f>I22/'Assumptions'!$D$2</x:f>
        <x:v>0.0104049</x:v>
      </x:c>
      <x:c r="O22" s="10" t="n">
        <x:f>'Strategies'!K4*'Scenarios'!E2</x:f>
        <x:v>0.009000000000000001</x:v>
      </x:c>
    </x:row>
    <x:row r="23">
      <x:c r="A23" s="16" t="n">
        <x:v>3</x:v>
      </x:c>
      <x:c r="B23" s="16" t="n">
        <x:v>2</x:v>
      </x:c>
      <x:c r="C23" s="16" t="n">
        <x:v>2027</x:v>
      </x:c>
      <x:c r="D23" s="16" t="n">
        <x:v>1</x:v>
      </x:c>
      <x:c r="E23" s="16" t="n">
        <x:f>ROUND(SUMIF('Segment analysis'!$A$2:$A$21,A23,'Segment analysis'!$I$2:$I$21)*'Scenarios'!C3*'Years'!C2,0)</x:f>
        <x:v>2079</x:v>
      </x:c>
      <x:c r="F23" s="5" t="n">
        <x:f>E23*'Strategies'!C4*'Strategies'!D4</x:f>
        <x:v>2027025</x:v>
      </x:c>
      <x:c r="G23" s="5" t="n">
        <x:f>E23*SUM('Strategies'!E4:G4)*'Scenarios'!D3</x:f>
        <x:v>1143450</x:v>
      </x:c>
      <x:c r="H23" s="5" t="n">
        <x:f>'Strategies'!I4</x:f>
        <x:v>1100000</x:v>
      </x:c>
      <x:c r="I23" s="5" t="n">
        <x:f>E23*'Strategies'!J4*'Scenarios'!E3</x:f>
        <x:v>45.738</x:v>
      </x:c>
      <x:c r="J23" s="5" t="n">
        <x:f>I23*'Assumptions'!$E$2*'Assumptions'!$F$2</x:f>
        <x:v>178378.2</x:v>
      </x:c>
      <x:c r="K23" s="5" t="n">
        <x:f>('Assumptions'!$D$2-I23)*'Assumptions'!$E$2*'Assumptions'!$F$2*O23</x:f>
        <x:v>232929.73080000002</x:v>
      </x:c>
      <x:c r="L23" s="5" t="n">
        <x:f>F23-G23-H23-J23-K23</x:f>
        <x:v>-627732.9308</x:v>
      </x:c>
      <x:c r="M23" s="5" t="n">
        <x:f>L23/(1+'Assumptions'!$B$2)^D23</x:f>
        <x:v>-560475.8310714285</x:v>
      </x:c>
      <x:c r="N23" s="10" t="n">
        <x:f>I23/'Assumptions'!$D$2</x:f>
        <x:v>0.0045738</x:v>
      </x:c>
      <x:c r="O23" s="10" t="n">
        <x:f>'Strategies'!K4*'Scenarios'!E3</x:f>
        <x:v>0.006</x:v>
      </x:c>
    </x:row>
    <x:row r="24">
      <x:c r="A24" s="16" t="n">
        <x:v>3</x:v>
      </x:c>
      <x:c r="B24" s="16" t="n">
        <x:v>2</x:v>
      </x:c>
      <x:c r="C24" s="16" t="n">
        <x:v>2028</x:v>
      </x:c>
      <x:c r="D24" s="16" t="n">
        <x:v>2</x:v>
      </x:c>
      <x:c r="E24" s="16" t="n">
        <x:f>ROUND(SUMIF('Segment analysis'!$A$2:$A$21,A24,'Segment analysis'!$I$2:$I$21)*'Scenarios'!C3*'Years'!C3,0)</x:f>
        <x:v>3465</x:v>
      </x:c>
      <x:c r="F24" s="5" t="n">
        <x:f>E24*'Strategies'!C4*'Strategies'!D4</x:f>
        <x:v>3378375</x:v>
      </x:c>
      <x:c r="G24" s="5" t="n">
        <x:f>E24*SUM('Strategies'!E4:G4)*'Scenarios'!D3</x:f>
        <x:v>1905750</x:v>
      </x:c>
      <x:c r="H24" s="5" t="n">
        <x:f>'Strategies'!I4</x:f>
        <x:v>1100000</x:v>
      </x:c>
      <x:c r="I24" s="5" t="n">
        <x:f>E24*'Strategies'!J4*'Scenarios'!E3</x:f>
        <x:v>76.22999999999999</x:v>
      </x:c>
      <x:c r="J24" s="5" t="n">
        <x:f>I24*'Assumptions'!$E$2*'Assumptions'!$F$2</x:f>
        <x:v>297297</x:v>
      </x:c>
      <x:c r="K24" s="5" t="n">
        <x:f>('Assumptions'!$D$2-I24)*'Assumptions'!$E$2*'Assumptions'!$F$2*O24</x:f>
        <x:v>232216.218</x:v>
      </x:c>
      <x:c r="L24" s="5" t="n">
        <x:f>F24-G24-H24-J24-K24</x:f>
        <x:v>-156888.218</x:v>
      </x:c>
      <x:c r="M24" s="5" t="n">
        <x:f>L24/(1+'Assumptions'!$B$2)^D24</x:f>
        <x:v>-125070.32684948978</x:v>
      </x:c>
      <x:c r="N24" s="10" t="n">
        <x:f>I24/'Assumptions'!$D$2</x:f>
        <x:v>0.007622999999999999</x:v>
      </x:c>
      <x:c r="O24" s="10" t="n">
        <x:f>'Strategies'!K4*'Scenarios'!E3</x:f>
        <x:v>0.006</x:v>
      </x:c>
    </x:row>
    <x:row r="25">
      <x:c r="A25" s="16" t="n">
        <x:v>3</x:v>
      </x:c>
      <x:c r="B25" s="16" t="n">
        <x:v>2</x:v>
      </x:c>
      <x:c r="C25" s="16" t="n">
        <x:v>2029</x:v>
      </x:c>
      <x:c r="D25" s="16" t="n">
        <x:v>3</x:v>
      </x:c>
      <x:c r="E25" s="16" t="n">
        <x:f>ROUND(SUMIF('Segment analysis'!$A$2:$A$21,A25,'Segment analysis'!$I$2:$I$21)*'Scenarios'!C3*'Years'!C4,0)</x:f>
        <x:v>4505</x:v>
      </x:c>
      <x:c r="F25" s="5" t="n">
        <x:f>E25*'Strategies'!C4*'Strategies'!D4</x:f>
        <x:v>4392375</x:v>
      </x:c>
      <x:c r="G25" s="5" t="n">
        <x:f>E25*SUM('Strategies'!E4:G4)*'Scenarios'!D3</x:f>
        <x:v>2477750</x:v>
      </x:c>
      <x:c r="H25" s="5" t="n">
        <x:f>'Strategies'!I4</x:f>
        <x:v>1100000</x:v>
      </x:c>
      <x:c r="I25" s="5" t="n">
        <x:f>E25*'Strategies'!J4*'Scenarios'!E3</x:f>
        <x:v>99.11</x:v>
      </x:c>
      <x:c r="J25" s="5" t="n">
        <x:f>I25*'Assumptions'!$E$2*'Assumptions'!$F$2</x:f>
        <x:v>386529</x:v>
      </x:c>
      <x:c r="K25" s="5" t="n">
        <x:f>('Assumptions'!$D$2-I25)*'Assumptions'!$E$2*'Assumptions'!$F$2*O25</x:f>
        <x:v>231680.826</x:v>
      </x:c>
      <x:c r="L25" s="5" t="n">
        <x:f>F25-G25-H25-J25-K25</x:f>
        <x:v>196415.174</x:v>
      </x:c>
      <x:c r="M25" s="5" t="n">
        <x:f>L25/(1+'Assumptions'!$B$2)^D25</x:f>
        <x:v>139804.4412240342</x:v>
      </x:c>
      <x:c r="N25" s="10" t="n">
        <x:f>I25/'Assumptions'!$D$2</x:f>
        <x:v>0.009911</x:v>
      </x:c>
      <x:c r="O25" s="10" t="n">
        <x:f>'Strategies'!K4*'Scenarios'!E3</x:f>
        <x:v>0.006</x:v>
      </x:c>
    </x:row>
    <x:row r="26">
      <x:c r="A26" s="16" t="n">
        <x:v>3</x:v>
      </x:c>
      <x:c r="B26" s="16" t="n">
        <x:v>3</x:v>
      </x:c>
      <x:c r="C26" s="16" t="n">
        <x:v>2027</x:v>
      </x:c>
      <x:c r="D26" s="16" t="n">
        <x:v>1</x:v>
      </x:c>
      <x:c r="E26" s="16" t="n">
        <x:f>ROUND(SUMIF('Segment analysis'!$A$2:$A$21,A26,'Segment analysis'!$I$2:$I$21)*'Scenarios'!C4*'Years'!C2,0)</x:f>
        <x:v>2495</x:v>
      </x:c>
      <x:c r="F26" s="5" t="n">
        <x:f>E26*'Strategies'!C4*'Strategies'!D4</x:f>
        <x:v>2432625</x:v>
      </x:c>
      <x:c r="G26" s="5" t="n">
        <x:f>E26*SUM('Strategies'!E4:G4)*'Scenarios'!D4</x:f>
        <x:v>1303637.5</x:v>
      </x:c>
      <x:c r="H26" s="5" t="n">
        <x:f>'Strategies'!I4</x:f>
        <x:v>1100000</x:v>
      </x:c>
      <x:c r="I26" s="5" t="n">
        <x:f>E26*'Strategies'!J4*'Scenarios'!E4</x:f>
        <x:v>41.1675</x:v>
      </x:c>
      <x:c r="J26" s="5" t="n">
        <x:f>I26*'Assumptions'!$E$2*'Assumptions'!$F$2</x:f>
        <x:v>160553.25</x:v>
      </x:c>
      <x:c r="K26" s="5" t="n">
        <x:f>('Assumptions'!$D$2-I26)*'Assumptions'!$E$2*'Assumptions'!$F$2*O26</x:f>
        <x:v>174777.510375</x:v>
      </x:c>
      <x:c r="L26" s="5" t="n">
        <x:f>F26-G26-H26-J26-K26</x:f>
        <x:v>-306343.260375</x:v>
      </x:c>
      <x:c r="M26" s="5" t="n">
        <x:f>L26/(1+'Assumptions'!$B$2)^D26</x:f>
        <x:v>-273520.76819196425</x:v>
      </x:c>
      <x:c r="N26" s="10" t="n">
        <x:f>I26/'Assumptions'!$D$2</x:f>
        <x:v>0.00411675</x:v>
      </x:c>
      <x:c r="O26" s="10" t="n">
        <x:f>'Strategies'!K4*'Scenarios'!E4</x:f>
        <x:v>0.0045000000000000005</x:v>
      </x:c>
    </x:row>
    <x:row r="27">
      <x:c r="A27" s="16" t="n">
        <x:v>3</x:v>
      </x:c>
      <x:c r="B27" s="16" t="n">
        <x:v>3</x:v>
      </x:c>
      <x:c r="C27" s="16" t="n">
        <x:v>2028</x:v>
      </x:c>
      <x:c r="D27" s="16" t="n">
        <x:v>2</x:v>
      </x:c>
      <x:c r="E27" s="16" t="n">
        <x:f>ROUND(SUMIF('Segment analysis'!$A$2:$A$21,A27,'Segment analysis'!$I$2:$I$21)*'Scenarios'!C4*'Years'!C3,0)</x:f>
        <x:v>4158</x:v>
      </x:c>
      <x:c r="F27" s="5" t="n">
        <x:f>E27*'Strategies'!C4*'Strategies'!D4</x:f>
        <x:v>4054050</x:v>
      </x:c>
      <x:c r="G27" s="5" t="n">
        <x:f>E27*SUM('Strategies'!E4:G4)*'Scenarios'!D4</x:f>
        <x:v>2172555</x:v>
      </x:c>
      <x:c r="H27" s="5" t="n">
        <x:f>'Strategies'!I4</x:f>
        <x:v>1100000</x:v>
      </x:c>
      <x:c r="I27" s="5" t="n">
        <x:f>E27*'Strategies'!J4*'Scenarios'!E4</x:f>
        <x:v>68.607</x:v>
      </x:c>
      <x:c r="J27" s="5" t="n">
        <x:f>I27*'Assumptions'!$E$2*'Assumptions'!$F$2</x:f>
        <x:v>267567.3</x:v>
      </x:c>
      <x:c r="K27" s="5" t="n">
        <x:f>('Assumptions'!$D$2-I27)*'Assumptions'!$E$2*'Assumptions'!$F$2*O27</x:f>
        <x:v>174295.94715000002</x:v>
      </x:c>
      <x:c r="L27" s="5" t="n">
        <x:f>F27-G27-H27-J27-K27</x:f>
        <x:v>339631.75285</x:v>
      </x:c>
      <x:c r="M27" s="5" t="n">
        <x:f>L27/(1+'Assumptions'!$B$2)^D27</x:f>
        <x:v>270752.3539939413</x:v>
      </x:c>
      <x:c r="N27" s="10" t="n">
        <x:f>I27/'Assumptions'!$D$2</x:f>
        <x:v>0.0068607</x:v>
      </x:c>
      <x:c r="O27" s="10" t="n">
        <x:f>'Strategies'!K4*'Scenarios'!E4</x:f>
        <x:v>0.0045000000000000005</x:v>
      </x:c>
    </x:row>
    <x:row r="28">
      <x:c r="A28" s="16" t="n">
        <x:v>3</x:v>
      </x:c>
      <x:c r="B28" s="16" t="n">
        <x:v>3</x:v>
      </x:c>
      <x:c r="C28" s="16" t="n">
        <x:v>2029</x:v>
      </x:c>
      <x:c r="D28" s="16" t="n">
        <x:v>3</x:v>
      </x:c>
      <x:c r="E28" s="16" t="n">
        <x:f>ROUND(SUMIF('Segment analysis'!$A$2:$A$21,A28,'Segment analysis'!$I$2:$I$21)*'Scenarios'!C4*'Years'!C4,0)</x:f>
        <x:v>5405</x:v>
      </x:c>
      <x:c r="F28" s="5" t="n">
        <x:f>E28*'Strategies'!C4*'Strategies'!D4</x:f>
        <x:v>5269875</x:v>
      </x:c>
      <x:c r="G28" s="5" t="n">
        <x:f>E28*SUM('Strategies'!E4:G4)*'Scenarios'!D4</x:f>
        <x:v>2824112.5</x:v>
      </x:c>
      <x:c r="H28" s="5" t="n">
        <x:f>'Strategies'!I4</x:f>
        <x:v>1100000</x:v>
      </x:c>
      <x:c r="I28" s="5" t="n">
        <x:f>E28*'Strategies'!J4*'Scenarios'!E4</x:f>
        <x:v>89.1825</x:v>
      </x:c>
      <x:c r="J28" s="5" t="n">
        <x:f>I28*'Assumptions'!$E$2*'Assumptions'!$F$2</x:f>
        <x:v>347811.75</x:v>
      </x:c>
      <x:c r="K28" s="5" t="n">
        <x:f>('Assumptions'!$D$2-I28)*'Assumptions'!$E$2*'Assumptions'!$F$2*O28</x:f>
        <x:v>173934.84712500003</x:v>
      </x:c>
      <x:c r="L28" s="5" t="n">
        <x:f>F28-G28-H28-J28-K28</x:f>
        <x:v>824015.9028749999</x:v>
      </x:c>
      <x:c r="M28" s="5" t="n">
        <x:f>L28/(1+'Assumptions'!$B$2)^D28</x:f>
        <x:v>586518.2435505589</x:v>
      </x:c>
      <x:c r="N28" s="10" t="n">
        <x:f>I28/'Assumptions'!$D$2</x:f>
        <x:v>0.00891825</x:v>
      </x:c>
      <x:c r="O28" s="10" t="n">
        <x:f>'Strategies'!K4*'Scenarios'!E4</x:f>
        <x:v>0.0045000000000000005</x:v>
      </x:c>
    </x:row>
    <x:row r="29">
      <x:c r="A29" s="16" t="n">
        <x:v>4</x:v>
      </x:c>
      <x:c r="B29" s="16" t="n">
        <x:v>1</x:v>
      </x:c>
      <x:c r="C29" s="16" t="n">
        <x:v>2027</x:v>
      </x:c>
      <x:c r="D29" s="16" t="n">
        <x:v>1</x:v>
      </x:c>
      <x:c r="E29" s="16" t="n">
        <x:f>ROUND(SUMIF('Segment analysis'!$A$2:$A$21,A29,'Segment analysis'!$I$2:$I$21)*'Scenarios'!C2*'Years'!C2,0)</x:f>
        <x:v>4788</x:v>
      </x:c>
      <x:c r="F29" s="5" t="n">
        <x:f>E29*'Strategies'!C5*'Strategies'!D5</x:f>
        <x:v>383040</x:v>
      </x:c>
      <x:c r="G29" s="5" t="n">
        <x:f>E29*SUM('Strategies'!E5:G5)*'Scenarios'!D2</x:f>
        <x:v>42134.4</x:v>
      </x:c>
      <x:c r="H29" s="5" t="n">
        <x:f>'Strategies'!I5</x:f>
        <x:v>350000</x:v>
      </x:c>
      <x:c r="I29" s="5" t="n">
        <x:f>E29*'Strategies'!J5*'Scenarios'!E2</x:f>
        <x:v>251.37</x:v>
      </x:c>
      <x:c r="J29" s="5" t="n">
        <x:f>I29*'Assumptions'!$E$2*'Assumptions'!$F$2</x:f>
        <x:v>980343</x:v>
      </x:c>
      <x:c r="K29" s="5" t="n">
        <x:f>('Assumptions'!$D$2-I29)*'Assumptions'!$E$2*'Assumptions'!$F$2*O29</x:f>
        <x:v>684353.8260000001</x:v>
      </x:c>
      <x:c r="L29" s="5" t="n">
        <x:f>F29-G29-H29-J29-K29</x:f>
        <x:v>-1673791.2260000003</x:v>
      </x:c>
      <x:c r="M29" s="5" t="n">
        <x:f>L29/(1+'Assumptions'!$B$2)^D29</x:f>
        <x:v>-1494456.4517857144</x:v>
      </x:c>
      <x:c r="N29" s="10" t="n">
        <x:f>I29/'Assumptions'!$D$2</x:f>
        <x:v>0.025137</x:v>
      </x:c>
      <x:c r="O29" s="10" t="n">
        <x:f>'Strategies'!K5*'Scenarios'!E2</x:f>
        <x:v>0.018000000000000002</x:v>
      </x:c>
    </x:row>
    <x:row r="30">
      <x:c r="A30" s="16" t="n">
        <x:v>4</x:v>
      </x:c>
      <x:c r="B30" s="16" t="n">
        <x:v>1</x:v>
      </x:c>
      <x:c r="C30" s="16" t="n">
        <x:v>2028</x:v>
      </x:c>
      <x:c r="D30" s="16" t="n">
        <x:v>2</x:v>
      </x:c>
      <x:c r="E30" s="16" t="n">
        <x:f>ROUND(SUMIF('Segment analysis'!$A$2:$A$21,A30,'Segment analysis'!$I$2:$I$21)*'Scenarios'!C2*'Years'!C3,0)</x:f>
        <x:v>7980</x:v>
      </x:c>
      <x:c r="F30" s="5" t="n">
        <x:f>E30*'Strategies'!C5*'Strategies'!D5</x:f>
        <x:v>638400</x:v>
      </x:c>
      <x:c r="G30" s="5" t="n">
        <x:f>E30*SUM('Strategies'!E5:G5)*'Scenarios'!D2</x:f>
        <x:v>70224</x:v>
      </x:c>
      <x:c r="H30" s="5" t="n">
        <x:f>'Strategies'!I5</x:f>
        <x:v>350000</x:v>
      </x:c>
      <x:c r="I30" s="5" t="n">
        <x:f>E30*'Strategies'!J5*'Scenarios'!E2</x:f>
        <x:v>418.95000000000005</x:v>
      </x:c>
      <x:c r="J30" s="5" t="n">
        <x:f>I30*'Assumptions'!$E$2*'Assumptions'!$F$2</x:f>
        <x:v>1633905.0000000005</x:v>
      </x:c>
      <x:c r="K30" s="5" t="n">
        <x:f>('Assumptions'!$D$2-I30)*'Assumptions'!$E$2*'Assumptions'!$F$2*O30</x:f>
        <x:v>672589.7100000001</x:v>
      </x:c>
      <x:c r="L30" s="5" t="n">
        <x:f>F30-G30-H30-J30-K30</x:f>
        <x:v>-2088318.7100000004</x:v>
      </x:c>
      <x:c r="M30" s="5" t="n">
        <x:f>L30/(1+'Assumptions'!$B$2)^D30</x:f>
        <x:v>-1664794.889987245</x:v>
      </x:c>
      <x:c r="N30" s="10" t="n">
        <x:f>I30/'Assumptions'!$D$2</x:f>
        <x:v>0.041895</x:v>
      </x:c>
      <x:c r="O30" s="10" t="n">
        <x:f>'Strategies'!K5*'Scenarios'!E2</x:f>
        <x:v>0.018000000000000002</x:v>
      </x:c>
    </x:row>
    <x:row r="31">
      <x:c r="A31" s="16" t="n">
        <x:v>4</x:v>
      </x:c>
      <x:c r="B31" s="16" t="n">
        <x:v>1</x:v>
      </x:c>
      <x:c r="C31" s="16" t="n">
        <x:v>2029</x:v>
      </x:c>
      <x:c r="D31" s="16" t="n">
        <x:v>3</x:v>
      </x:c>
      <x:c r="E31" s="16" t="n">
        <x:f>ROUND(SUMIF('Segment analysis'!$A$2:$A$21,A31,'Segment analysis'!$I$2:$I$21)*'Scenarios'!C2*'Years'!C4,0)</x:f>
        <x:v>10374</x:v>
      </x:c>
      <x:c r="F31" s="5" t="n">
        <x:f>E31*'Strategies'!C5*'Strategies'!D5</x:f>
        <x:v>829920</x:v>
      </x:c>
      <x:c r="G31" s="5" t="n">
        <x:f>E31*SUM('Strategies'!E5:G5)*'Scenarios'!D2</x:f>
        <x:v>91291.20000000001</x:v>
      </x:c>
      <x:c r="H31" s="5" t="n">
        <x:f>'Strategies'!I5</x:f>
        <x:v>350000</x:v>
      </x:c>
      <x:c r="I31" s="5" t="n">
        <x:f>E31*'Strategies'!J5*'Scenarios'!E2</x:f>
        <x:v>544.635</x:v>
      </x:c>
      <x:c r="J31" s="5" t="n">
        <x:f>I31*'Assumptions'!$E$2*'Assumptions'!$F$2</x:f>
        <x:v>2124076.5</x:v>
      </x:c>
      <x:c r="K31" s="5" t="n">
        <x:f>('Assumptions'!$D$2-I31)*'Assumptions'!$E$2*'Assumptions'!$F$2*O31</x:f>
        <x:v>663766.623</x:v>
      </x:c>
      <x:c r="L31" s="5" t="n">
        <x:f>F31-G31-H31-J31-K31</x:f>
        <x:v>-2399214.323</x:v>
      </x:c>
      <x:c r="M31" s="5" t="n">
        <x:f>L31/(1+'Assumptions'!$B$2)^D31</x:f>
        <x:v>-1707713.3653824248</x:v>
      </x:c>
      <x:c r="N31" s="10" t="n">
        <x:f>I31/'Assumptions'!$D$2</x:f>
        <x:v>0.0544635</x:v>
      </x:c>
      <x:c r="O31" s="10" t="n">
        <x:f>'Strategies'!K5*'Scenarios'!E2</x:f>
        <x:v>0.018000000000000002</x:v>
      </x:c>
    </x:row>
    <x:row r="32">
      <x:c r="A32" s="16" t="n">
        <x:v>4</x:v>
      </x:c>
      <x:c r="B32" s="16" t="n">
        <x:v>2</x:v>
      </x:c>
      <x:c r="C32" s="16" t="n">
        <x:v>2027</x:v>
      </x:c>
      <x:c r="D32" s="16" t="n">
        <x:v>1</x:v>
      </x:c>
      <x:c r="E32" s="16" t="n">
        <x:f>ROUND(SUMIF('Segment analysis'!$A$2:$A$21,A32,'Segment analysis'!$I$2:$I$21)*'Scenarios'!C3*'Years'!C2,0)</x:f>
        <x:v>6840</x:v>
      </x:c>
      <x:c r="F32" s="5" t="n">
        <x:f>E32*'Strategies'!C5*'Strategies'!D5</x:f>
        <x:v>547200</x:v>
      </x:c>
      <x:c r="G32" s="5" t="n">
        <x:f>E32*SUM('Strategies'!E5:G5)*'Scenarios'!D3</x:f>
        <x:v>54720</x:v>
      </x:c>
      <x:c r="H32" s="5" t="n">
        <x:f>'Strategies'!I5</x:f>
        <x:v>350000</x:v>
      </x:c>
      <x:c r="I32" s="5" t="n">
        <x:f>E32*'Strategies'!J5*'Scenarios'!E3</x:f>
        <x:v>239.40000000000003</x:v>
      </x:c>
      <x:c r="J32" s="5" t="n">
        <x:f>I32*'Assumptions'!$E$2*'Assumptions'!$F$2</x:f>
        <x:v>933660.0000000002</x:v>
      </x:c>
      <x:c r="K32" s="5" t="n">
        <x:f>('Assumptions'!$D$2-I32)*'Assumptions'!$E$2*'Assumptions'!$F$2*O32</x:f>
        <x:v>456796.08</x:v>
      </x:c>
      <x:c r="L32" s="5" t="n">
        <x:f>F32-G32-H32-J32-K32</x:f>
        <x:v>-1247976.0800000003</x:v>
      </x:c>
      <x:c r="M32" s="5" t="n">
        <x:f>L32/(1+'Assumptions'!$B$2)^D32</x:f>
        <x:v>-1114264.3571428573</x:v>
      </x:c>
      <x:c r="N32" s="10" t="n">
        <x:f>I32/'Assumptions'!$D$2</x:f>
        <x:v>0.023940000000000003</x:v>
      </x:c>
      <x:c r="O32" s="10" t="n">
        <x:f>'Strategies'!K5*'Scenarios'!E3</x:f>
        <x:v>0.012</x:v>
      </x:c>
    </x:row>
    <x:row r="33">
      <x:c r="A33" s="16" t="n">
        <x:v>4</x:v>
      </x:c>
      <x:c r="B33" s="16" t="n">
        <x:v>2</x:v>
      </x:c>
      <x:c r="C33" s="16" t="n">
        <x:v>2028</x:v>
      </x:c>
      <x:c r="D33" s="16" t="n">
        <x:v>2</x:v>
      </x:c>
      <x:c r="E33" s="16" t="n">
        <x:f>ROUND(SUMIF('Segment analysis'!$A$2:$A$21,A33,'Segment analysis'!$I$2:$I$21)*'Scenarios'!C3*'Years'!C3,0)</x:f>
        <x:v>11400</x:v>
      </x:c>
      <x:c r="F33" s="5" t="n">
        <x:f>E33*'Strategies'!C5*'Strategies'!D5</x:f>
        <x:v>912000</x:v>
      </x:c>
      <x:c r="G33" s="5" t="n">
        <x:f>E33*SUM('Strategies'!E5:G5)*'Scenarios'!D3</x:f>
        <x:v>91200</x:v>
      </x:c>
      <x:c r="H33" s="5" t="n">
        <x:f>'Strategies'!I5</x:f>
        <x:v>350000</x:v>
      </x:c>
      <x:c r="I33" s="5" t="n">
        <x:f>E33*'Strategies'!J5*'Scenarios'!E3</x:f>
        <x:v>399.00000000000006</x:v>
      </x:c>
      <x:c r="J33" s="5" t="n">
        <x:f>I33*'Assumptions'!$E$2*'Assumptions'!$F$2</x:f>
        <x:v>1556100.0000000005</x:v>
      </x:c>
      <x:c r="K33" s="5" t="n">
        <x:f>('Assumptions'!$D$2-I33)*'Assumptions'!$E$2*'Assumptions'!$F$2*O33</x:f>
        <x:v>449326.8</x:v>
      </x:c>
      <x:c r="L33" s="5" t="n">
        <x:f>F33-G33-H33-J33-K33</x:f>
        <x:v>-1534626.8000000005</x:v>
      </x:c>
      <x:c r="M33" s="5" t="n">
        <x:f>L33/(1+'Assumptions'!$B$2)^D33</x:f>
        <x:v>-1223395.0892857146</x:v>
      </x:c>
      <x:c r="N33" s="10" t="n">
        <x:f>I33/'Assumptions'!$D$2</x:f>
        <x:v>0.039900000000000005</x:v>
      </x:c>
      <x:c r="O33" s="10" t="n">
        <x:f>'Strategies'!K5*'Scenarios'!E3</x:f>
        <x:v>0.012</x:v>
      </x:c>
    </x:row>
    <x:row r="34">
      <x:c r="A34" s="16" t="n">
        <x:v>4</x:v>
      </x:c>
      <x:c r="B34" s="16" t="n">
        <x:v>2</x:v>
      </x:c>
      <x:c r="C34" s="16" t="n">
        <x:v>2029</x:v>
      </x:c>
      <x:c r="D34" s="16" t="n">
        <x:v>3</x:v>
      </x:c>
      <x:c r="E34" s="16" t="n">
        <x:f>ROUND(SUMIF('Segment analysis'!$A$2:$A$21,A34,'Segment analysis'!$I$2:$I$21)*'Scenarios'!C3*'Years'!C4,0)</x:f>
        <x:v>14820</x:v>
      </x:c>
      <x:c r="F34" s="5" t="n">
        <x:f>E34*'Strategies'!C5*'Strategies'!D5</x:f>
        <x:v>1185600</x:v>
      </x:c>
      <x:c r="G34" s="5" t="n">
        <x:f>E34*SUM('Strategies'!E5:G5)*'Scenarios'!D3</x:f>
        <x:v>118560</x:v>
      </x:c>
      <x:c r="H34" s="5" t="n">
        <x:f>'Strategies'!I5</x:f>
        <x:v>350000</x:v>
      </x:c>
      <x:c r="I34" s="5" t="n">
        <x:f>E34*'Strategies'!J5*'Scenarios'!E3</x:f>
        <x:v>518.7</x:v>
      </x:c>
      <x:c r="J34" s="5" t="n">
        <x:f>I34*'Assumptions'!$E$2*'Assumptions'!$F$2</x:f>
        <x:v>2022930.0000000005</x:v>
      </x:c>
      <x:c r="K34" s="5" t="n">
        <x:f>('Assumptions'!$D$2-I34)*'Assumptions'!$E$2*'Assumptions'!$F$2*O34</x:f>
        <x:v>443724.84</x:v>
      </x:c>
      <x:c r="L34" s="5" t="n">
        <x:f>F34-G34-H34-J34-K34</x:f>
        <x:v>-1749614.8400000005</x:v>
      </x:c>
      <x:c r="M34" s="5" t="n">
        <x:f>L34/(1+'Assumptions'!$B$2)^D34</x:f>
        <x:v>-1245341.2843932216</x:v>
      </x:c>
      <x:c r="N34" s="10" t="n">
        <x:f>I34/'Assumptions'!$D$2</x:f>
        <x:v>0.051870000000000006</x:v>
      </x:c>
      <x:c r="O34" s="10" t="n">
        <x:f>'Strategies'!K5*'Scenarios'!E3</x:f>
        <x:v>0.012</x:v>
      </x:c>
    </x:row>
    <x:row r="35">
      <x:c r="A35" s="16" t="n">
        <x:v>4</x:v>
      </x:c>
      <x:c r="B35" s="16" t="n">
        <x:v>3</x:v>
      </x:c>
      <x:c r="C35" s="16" t="n">
        <x:v>2027</x:v>
      </x:c>
      <x:c r="D35" s="16" t="n">
        <x:v>1</x:v>
      </x:c>
      <x:c r="E35" s="16" t="n">
        <x:f>ROUND(SUMIF('Segment analysis'!$A$2:$A$21,A35,'Segment analysis'!$I$2:$I$21)*'Scenarios'!C4*'Years'!C2,0)</x:f>
        <x:v>8208</x:v>
      </x:c>
      <x:c r="F35" s="5" t="n">
        <x:f>E35*'Strategies'!C5*'Strategies'!D5</x:f>
        <x:v>656640</x:v>
      </x:c>
      <x:c r="G35" s="5" t="n">
        <x:f>E35*SUM('Strategies'!E5:G5)*'Scenarios'!D4</x:f>
        <x:v>62380.799999999996</x:v>
      </x:c>
      <x:c r="H35" s="5" t="n">
        <x:f>'Strategies'!I5</x:f>
        <x:v>350000</x:v>
      </x:c>
      <x:c r="I35" s="5" t="n">
        <x:f>E35*'Strategies'!J5*'Scenarios'!E4</x:f>
        <x:v>215.46000000000004</x:v>
      </x:c>
      <x:c r="J35" s="5" t="n">
        <x:f>I35*'Assumptions'!$E$2*'Assumptions'!$F$2</x:f>
        <x:v>840294.0000000002</x:v>
      </x:c>
      <x:c r="K35" s="5" t="n">
        <x:f>('Assumptions'!$D$2-I35)*'Assumptions'!$E$2*'Assumptions'!$F$2*O35</x:f>
        <x:v>343437.3540000001</x:v>
      </x:c>
      <x:c r="L35" s="5" t="n">
        <x:f>F35-G35-H35-J35-K35</x:f>
        <x:v>-939472.1540000003</x:v>
      </x:c>
      <x:c r="M35" s="5" t="n">
        <x:f>L35/(1+'Assumptions'!$B$2)^D35</x:f>
        <x:v>-838814.423214286</x:v>
      </x:c>
      <x:c r="N35" s="10" t="n">
        <x:f>I35/'Assumptions'!$D$2</x:f>
        <x:v>0.021546000000000003</x:v>
      </x:c>
      <x:c r="O35" s="10" t="n">
        <x:f>'Strategies'!K5*'Scenarios'!E4</x:f>
        <x:v>0.009000000000000001</x:v>
      </x:c>
    </x:row>
    <x:row r="36">
      <x:c r="A36" s="16" t="n">
        <x:v>4</x:v>
      </x:c>
      <x:c r="B36" s="16" t="n">
        <x:v>3</x:v>
      </x:c>
      <x:c r="C36" s="16" t="n">
        <x:v>2028</x:v>
      </x:c>
      <x:c r="D36" s="16" t="n">
        <x:v>2</x:v>
      </x:c>
      <x:c r="E36" s="16" t="n">
        <x:f>ROUND(SUMIF('Segment analysis'!$A$2:$A$21,A36,'Segment analysis'!$I$2:$I$21)*'Scenarios'!C4*'Years'!C3,0)</x:f>
        <x:v>13680</x:v>
      </x:c>
      <x:c r="F36" s="5" t="n">
        <x:f>E36*'Strategies'!C5*'Strategies'!D5</x:f>
        <x:v>1094400</x:v>
      </x:c>
      <x:c r="G36" s="5" t="n">
        <x:f>E36*SUM('Strategies'!E5:G5)*'Scenarios'!D4</x:f>
        <x:v>103968</x:v>
      </x:c>
      <x:c r="H36" s="5" t="n">
        <x:f>'Strategies'!I5</x:f>
        <x:v>350000</x:v>
      </x:c>
      <x:c r="I36" s="5" t="n">
        <x:f>E36*'Strategies'!J5*'Scenarios'!E4</x:f>
        <x:v>359.1</x:v>
      </x:c>
      <x:c r="J36" s="5" t="n">
        <x:f>I36*'Assumptions'!$E$2*'Assumptions'!$F$2</x:f>
        <x:v>1400490</x:v>
      </x:c>
      <x:c r="K36" s="5" t="n">
        <x:f>('Assumptions'!$D$2-I36)*'Assumptions'!$E$2*'Assumptions'!$F$2*O36</x:f>
        <x:v>338395.59</x:v>
      </x:c>
      <x:c r="L36" s="5" t="n">
        <x:f>F36-G36-H36-J36-K36</x:f>
        <x:v>-1098453.59</x:v>
      </x:c>
      <x:c r="M36" s="5" t="n">
        <x:f>L36/(1+'Assumptions'!$B$2)^D36</x:f>
        <x:v>-875680.4767219387</x:v>
      </x:c>
      <x:c r="N36" s="10" t="n">
        <x:f>I36/'Assumptions'!$D$2</x:f>
        <x:v>0.035910000000000004</x:v>
      </x:c>
      <x:c r="O36" s="10" t="n">
        <x:f>'Strategies'!K5*'Scenarios'!E4</x:f>
        <x:v>0.009000000000000001</x:v>
      </x:c>
    </x:row>
    <x:row r="37">
      <x:c r="A37" s="16" t="n">
        <x:v>4</x:v>
      </x:c>
      <x:c r="B37" s="16" t="n">
        <x:v>3</x:v>
      </x:c>
      <x:c r="C37" s="16" t="n">
        <x:v>2029</x:v>
      </x:c>
      <x:c r="D37" s="16" t="n">
        <x:v>3</x:v>
      </x:c>
      <x:c r="E37" s="16" t="n">
        <x:f>ROUND(SUMIF('Segment analysis'!$A$2:$A$21,A37,'Segment analysis'!$I$2:$I$21)*'Scenarios'!C4*'Years'!C4,0)</x:f>
        <x:v>17784</x:v>
      </x:c>
      <x:c r="F37" s="5" t="n">
        <x:f>E37*'Strategies'!C5*'Strategies'!D5</x:f>
        <x:v>1422720</x:v>
      </x:c>
      <x:c r="G37" s="5" t="n">
        <x:f>E37*SUM('Strategies'!E5:G5)*'Scenarios'!D4</x:f>
        <x:v>135158.4</x:v>
      </x:c>
      <x:c r="H37" s="5" t="n">
        <x:f>'Strategies'!I5</x:f>
        <x:v>350000</x:v>
      </x:c>
      <x:c r="I37" s="5" t="n">
        <x:f>E37*'Strategies'!J5*'Scenarios'!E4</x:f>
        <x:v>466.83000000000004</x:v>
      </x:c>
      <x:c r="J37" s="5" t="n">
        <x:f>I37*'Assumptions'!$E$2*'Assumptions'!$F$2</x:f>
        <x:v>1820637.0000000005</x:v>
      </x:c>
      <x:c r="K37" s="5" t="n">
        <x:f>('Assumptions'!$D$2-I37)*'Assumptions'!$E$2*'Assumptions'!$F$2*O37</x:f>
        <x:v>334614.26700000005</x:v>
      </x:c>
      <x:c r="L37" s="5" t="n">
        <x:f>F37-G37-H37-J37-K37</x:f>
        <x:v>-1217689.6670000004</x:v>
      </x:c>
      <x:c r="M37" s="5" t="n">
        <x:f>L37/(1+'Assumptions'!$B$2)^D37</x:f>
        <x:v>-866727.4529370901</x:v>
      </x:c>
      <x:c r="N37" s="10" t="n">
        <x:f>I37/'Assumptions'!$D$2</x:f>
        <x:v>0.046683</x:v>
      </x:c>
      <x:c r="O37" s="10" t="n">
        <x:f>'Strategies'!K5*'Scenarios'!E4</x:f>
        <x:v>0.009000000000000001</x:v>
      </x:c>
    </x:row>
    <x:row r="38">
      <x:c r="A38" s="16" t="n">
        <x:v>5</x:v>
      </x:c>
      <x:c r="B38" s="16" t="n">
        <x:v>1</x:v>
      </x:c>
      <x:c r="C38" s="16" t="n">
        <x:v>2027</x:v>
      </x:c>
      <x:c r="D38" s="16" t="n">
        <x:v>1</x:v>
      </x:c>
      <x:c r="E38" s="16" t="n">
        <x:f>ROUND(SUMIF('Segment analysis'!$A$2:$A$21,A38,'Segment analysis'!$I$2:$I$21)*'Scenarios'!C2*'Years'!C2,0)</x:f>
        <x:v>871</x:v>
      </x:c>
      <x:c r="F38" s="5" t="n">
        <x:f>E38*'Strategies'!C6*'Strategies'!D6</x:f>
        <x:v>1123590</x:v>
      </x:c>
      <x:c r="G38" s="5" t="n">
        <x:f>E38*SUM('Strategies'!E6:G6)*'Scenarios'!D2</x:f>
        <x:v>665879.5</x:v>
      </x:c>
      <x:c r="H38" s="5" t="n">
        <x:f>'Strategies'!I6</x:f>
        <x:v>1100000</x:v>
      </x:c>
      <x:c r="I38" s="5" t="n">
        <x:f>E38*'Strategies'!J6*'Scenarios'!E2</x:f>
        <x:v>23.517</x:v>
      </x:c>
      <x:c r="J38" s="5" t="n">
        <x:f>I38*'Assumptions'!$E$2*'Assumptions'!$F$2</x:f>
        <x:v>91716.3</x:v>
      </x:c>
      <x:c r="K38" s="5" t="n">
        <x:f>('Assumptions'!$D$2-I38)*'Assumptions'!$E$2*'Assumptions'!$F$2*O38</x:f>
        <x:v>233449.70220000003</x:v>
      </x:c>
      <x:c r="L38" s="5" t="n">
        <x:f>F38-G38-H38-J38-K38</x:f>
        <x:v>-967455.5022000001</x:v>
      </x:c>
      <x:c r="M38" s="5" t="n">
        <x:f>L38/(1+'Assumptions'!$B$2)^D38</x:f>
        <x:v>-863799.5555357143</x:v>
      </x:c>
      <x:c r="N38" s="10" t="n">
        <x:f>I38/'Assumptions'!$D$2</x:f>
        <x:v>0.0023517</x:v>
      </x:c>
      <x:c r="O38" s="10" t="n">
        <x:f>'Strategies'!K6*'Scenarios'!E2</x:f>
        <x:v>0.006</x:v>
      </x:c>
    </x:row>
    <x:row r="39">
      <x:c r="A39" s="16" t="n">
        <x:v>5</x:v>
      </x:c>
      <x:c r="B39" s="16" t="n">
        <x:v>1</x:v>
      </x:c>
      <x:c r="C39" s="16" t="n">
        <x:v>2028</x:v>
      </x:c>
      <x:c r="D39" s="16" t="n">
        <x:v>2</x:v>
      </x:c>
      <x:c r="E39" s="16" t="n">
        <x:f>ROUND(SUMIF('Segment analysis'!$A$2:$A$21,A39,'Segment analysis'!$I$2:$I$21)*'Scenarios'!C2*'Years'!C3,0)</x:f>
        <x:v>1452</x:v>
      </x:c>
      <x:c r="F39" s="5" t="n">
        <x:f>E39*'Strategies'!C6*'Strategies'!D6</x:f>
        <x:v>1873080</x:v>
      </x:c>
      <x:c r="G39" s="5" t="n">
        <x:f>E39*SUM('Strategies'!E6:G6)*'Scenarios'!D2</x:f>
        <x:v>1110054</x:v>
      </x:c>
      <x:c r="H39" s="5" t="n">
        <x:f>'Strategies'!I6</x:f>
        <x:v>1100000</x:v>
      </x:c>
      <x:c r="I39" s="5" t="n">
        <x:f>E39*'Strategies'!J6*'Scenarios'!E2</x:f>
        <x:v>39.204</x:v>
      </x:c>
      <x:c r="J39" s="5" t="n">
        <x:f>I39*'Assumptions'!$E$2*'Assumptions'!$F$2</x:f>
        <x:v>152895.6</x:v>
      </x:c>
      <x:c r="K39" s="5" t="n">
        <x:f>('Assumptions'!$D$2-I39)*'Assumptions'!$E$2*'Assumptions'!$F$2*O39</x:f>
        <x:v>233082.6264</x:v>
      </x:c>
      <x:c r="L39" s="5" t="n">
        <x:f>F39-G39-H39-J39-K39</x:f>
        <x:v>-722952.2264</x:v>
      </x:c>
      <x:c r="M39" s="5" t="n">
        <x:f>L39/(1+'Assumptions'!$B$2)^D39</x:f>
        <x:v>-576333.0886479592</x:v>
      </x:c>
      <x:c r="N39" s="10" t="n">
        <x:f>I39/'Assumptions'!$D$2</x:f>
        <x:v>0.0039204</x:v>
      </x:c>
      <x:c r="O39" s="10" t="n">
        <x:f>'Strategies'!K6*'Scenarios'!E2</x:f>
        <x:v>0.006</x:v>
      </x:c>
    </x:row>
    <x:row r="40">
      <x:c r="A40" s="16" t="n">
        <x:v>5</x:v>
      </x:c>
      <x:c r="B40" s="16" t="n">
        <x:v>1</x:v>
      </x:c>
      <x:c r="C40" s="16" t="n">
        <x:v>2029</x:v>
      </x:c>
      <x:c r="D40" s="16" t="n">
        <x:v>3</x:v>
      </x:c>
      <x:c r="E40" s="16" t="n">
        <x:f>ROUND(SUMIF('Segment analysis'!$A$2:$A$21,A40,'Segment analysis'!$I$2:$I$21)*'Scenarios'!C2*'Years'!C4,0)</x:f>
        <x:v>1887</x:v>
      </x:c>
      <x:c r="F40" s="5" t="n">
        <x:f>E40*'Strategies'!C6*'Strategies'!D6</x:f>
        <x:v>2434230</x:v>
      </x:c>
      <x:c r="G40" s="5" t="n">
        <x:f>E40*SUM('Strategies'!E6:G6)*'Scenarios'!D2</x:f>
        <x:v>1442611.5000000002</x:v>
      </x:c>
      <x:c r="H40" s="5" t="n">
        <x:f>'Strategies'!I6</x:f>
        <x:v>1100000</x:v>
      </x:c>
      <x:c r="I40" s="5" t="n">
        <x:f>E40*'Strategies'!J6*'Scenarios'!E2</x:f>
        <x:v>50.94899999999999</x:v>
      </x:c>
      <x:c r="J40" s="5" t="n">
        <x:f>I40*'Assumptions'!$E$2*'Assumptions'!$F$2</x:f>
        <x:v>198701.09999999998</x:v>
      </x:c>
      <x:c r="K40" s="5" t="n">
        <x:f>('Assumptions'!$D$2-I40)*'Assumptions'!$E$2*'Assumptions'!$F$2*O40</x:f>
        <x:v>232807.7934</x:v>
      </x:c>
      <x:c r="L40" s="5" t="n">
        <x:f>F40-G40-H40-J40-K40</x:f>
        <x:v>-539890.3934000002</x:v>
      </x:c>
      <x:c r="M40" s="5" t="n">
        <x:f>L40/(1+'Assumptions'!$B$2)^D40</x:f>
        <x:v>-384283.31800633203</x:v>
      </x:c>
      <x:c r="N40" s="10" t="n">
        <x:f>I40/'Assumptions'!$D$2</x:f>
        <x:v>0.005094899999999999</x:v>
      </x:c>
      <x:c r="O40" s="10" t="n">
        <x:f>'Strategies'!K6*'Scenarios'!E2</x:f>
        <x:v>0.006</x:v>
      </x:c>
    </x:row>
    <x:row r="41">
      <x:c r="A41" s="16" t="n">
        <x:v>5</x:v>
      </x:c>
      <x:c r="B41" s="16" t="n">
        <x:v>2</x:v>
      </x:c>
      <x:c r="C41" s="16" t="n">
        <x:v>2027</x:v>
      </x:c>
      <x:c r="D41" s="16" t="n">
        <x:v>1</x:v>
      </x:c>
      <x:c r="E41" s="16" t="n">
        <x:f>ROUND(SUMIF('Segment analysis'!$A$2:$A$21,A41,'Segment analysis'!$I$2:$I$21)*'Scenarios'!C3*'Years'!C2,0)</x:f>
        <x:v>1244</x:v>
      </x:c>
      <x:c r="F41" s="5" t="n">
        <x:f>E41*'Strategies'!C6*'Strategies'!D6</x:f>
        <x:v>1604760</x:v>
      </x:c>
      <x:c r="G41" s="5" t="n">
        <x:f>E41*SUM('Strategies'!E6:G6)*'Scenarios'!D3</x:f>
        <x:v>864580</x:v>
      </x:c>
      <x:c r="H41" s="5" t="n">
        <x:f>'Strategies'!I6</x:f>
        <x:v>1100000</x:v>
      </x:c>
      <x:c r="I41" s="5" t="n">
        <x:f>E41*'Strategies'!J6*'Scenarios'!E3</x:f>
        <x:v>22.392</x:v>
      </x:c>
      <x:c r="J41" s="5" t="n">
        <x:f>I41*'Assumptions'!$E$2*'Assumptions'!$F$2</x:f>
        <x:v>87328.8</x:v>
      </x:c>
      <x:c r="K41" s="5" t="n">
        <x:f>('Assumptions'!$D$2-I41)*'Assumptions'!$E$2*'Assumptions'!$F$2*O41</x:f>
        <x:v>155650.68480000002</x:v>
      </x:c>
      <x:c r="L41" s="5" t="n">
        <x:f>F41-G41-H41-J41-K41</x:f>
        <x:v>-602799.4848</x:v>
      </x:c>
      <x:c r="M41" s="5" t="n">
        <x:f>L41/(1+'Assumptions'!$B$2)^D41</x:f>
        <x:v>-538213.8257142856</x:v>
      </x:c>
      <x:c r="N41" s="10" t="n">
        <x:f>I41/'Assumptions'!$D$2</x:f>
        <x:v>0.0022392</x:v>
      </x:c>
      <x:c r="O41" s="10" t="n">
        <x:f>'Strategies'!K6*'Scenarios'!E3</x:f>
        <x:v>0.004</x:v>
      </x:c>
    </x:row>
    <x:row r="42">
      <x:c r="A42" s="16" t="n">
        <x:v>5</x:v>
      </x:c>
      <x:c r="B42" s="16" t="n">
        <x:v>2</x:v>
      </x:c>
      <x:c r="C42" s="16" t="n">
        <x:v>2028</x:v>
      </x:c>
      <x:c r="D42" s="16" t="n">
        <x:v>2</x:v>
      </x:c>
      <x:c r="E42" s="16" t="n">
        <x:f>ROUND(SUMIF('Segment analysis'!$A$2:$A$21,A42,'Segment analysis'!$I$2:$I$21)*'Scenarios'!C3*'Years'!C3,0)</x:f>
        <x:v>2074</x:v>
      </x:c>
      <x:c r="F42" s="5" t="n">
        <x:f>E42*'Strategies'!C6*'Strategies'!D6</x:f>
        <x:v>2675460</x:v>
      </x:c>
      <x:c r="G42" s="5" t="n">
        <x:f>E42*SUM('Strategies'!E6:G6)*'Scenarios'!D3</x:f>
        <x:v>1441430</x:v>
      </x:c>
      <x:c r="H42" s="5" t="n">
        <x:f>'Strategies'!I6</x:f>
        <x:v>1100000</x:v>
      </x:c>
      <x:c r="I42" s="5" t="n">
        <x:f>E42*'Strategies'!J6*'Scenarios'!E3</x:f>
        <x:v>37.331999999999994</x:v>
      </x:c>
      <x:c r="J42" s="5" t="n">
        <x:f>I42*'Assumptions'!$E$2*'Assumptions'!$F$2</x:f>
        <x:v>145594.8</x:v>
      </x:c>
      <x:c r="K42" s="5" t="n">
        <x:f>('Assumptions'!$D$2-I42)*'Assumptions'!$E$2*'Assumptions'!$F$2*O42</x:f>
        <x:v>155417.6208</x:v>
      </x:c>
      <x:c r="L42" s="5" t="n">
        <x:f>F42-G42-H42-J42-K42</x:f>
        <x:v>-166982.4208</x:v>
      </x:c>
      <x:c r="M42" s="5" t="n">
        <x:f>L42/(1+'Assumptions'!$B$2)^D42</x:f>
        <x:v>-133117.36352040814</x:v>
      </x:c>
      <x:c r="N42" s="10" t="n">
        <x:f>I42/'Assumptions'!$D$2</x:f>
        <x:v>0.0037331999999999995</x:v>
      </x:c>
      <x:c r="O42" s="10" t="n">
        <x:f>'Strategies'!K6*'Scenarios'!E3</x:f>
        <x:v>0.004</x:v>
      </x:c>
    </x:row>
    <x:row r="43">
      <x:c r="A43" s="16" t="n">
        <x:v>5</x:v>
      </x:c>
      <x:c r="B43" s="16" t="n">
        <x:v>2</x:v>
      </x:c>
      <x:c r="C43" s="16" t="n">
        <x:v>2029</x:v>
      </x:c>
      <x:c r="D43" s="16" t="n">
        <x:v>3</x:v>
      </x:c>
      <x:c r="E43" s="16" t="n">
        <x:f>ROUND(SUMIF('Segment analysis'!$A$2:$A$21,A43,'Segment analysis'!$I$2:$I$21)*'Scenarios'!C3*'Years'!C4,0)</x:f>
        <x:v>2696</x:v>
      </x:c>
      <x:c r="F43" s="5" t="n">
        <x:f>E43*'Strategies'!C6*'Strategies'!D6</x:f>
        <x:v>3477840</x:v>
      </x:c>
      <x:c r="G43" s="5" t="n">
        <x:f>E43*SUM('Strategies'!E6:G6)*'Scenarios'!D3</x:f>
        <x:v>1873720</x:v>
      </x:c>
      <x:c r="H43" s="5" t="n">
        <x:f>'Strategies'!I6</x:f>
        <x:v>1100000</x:v>
      </x:c>
      <x:c r="I43" s="5" t="n">
        <x:f>E43*'Strategies'!J6*'Scenarios'!E3</x:f>
        <x:v>48.528</x:v>
      </x:c>
      <x:c r="J43" s="5" t="n">
        <x:f>I43*'Assumptions'!$E$2*'Assumptions'!$F$2</x:f>
        <x:v>189259.2</x:v>
      </x:c>
      <x:c r="K43" s="5" t="n">
        <x:f>('Assumptions'!$D$2-I43)*'Assumptions'!$E$2*'Assumptions'!$F$2*O43</x:f>
        <x:v>155242.96320000003</x:v>
      </x:c>
      <x:c r="L43" s="5" t="n">
        <x:f>F43-G43-H43-J43-K43</x:f>
        <x:v>159617.83679999996</x:v>
      </x:c>
      <x:c r="M43" s="5" t="n">
        <x:f>L43/(1+'Assumptions'!$B$2)^D43</x:f>
        <x:v>113612.82343294454</x:v>
      </x:c>
      <x:c r="N43" s="10" t="n">
        <x:f>I43/'Assumptions'!$D$2</x:f>
        <x:v>0.0048528</x:v>
      </x:c>
      <x:c r="O43" s="10" t="n">
        <x:f>'Strategies'!K6*'Scenarios'!E3</x:f>
        <x:v>0.004</x:v>
      </x:c>
    </x:row>
    <x:row r="44">
      <x:c r="A44" s="16" t="n">
        <x:v>5</x:v>
      </x:c>
      <x:c r="B44" s="16" t="n">
        <x:v>3</x:v>
      </x:c>
      <x:c r="C44" s="16" t="n">
        <x:v>2027</x:v>
      </x:c>
      <x:c r="D44" s="16" t="n">
        <x:v>1</x:v>
      </x:c>
      <x:c r="E44" s="16" t="n">
        <x:f>ROUND(SUMIF('Segment analysis'!$A$2:$A$21,A44,'Segment analysis'!$I$2:$I$21)*'Scenarios'!C4*'Years'!C2,0)</x:f>
        <x:v>1493</x:v>
      </x:c>
      <x:c r="F44" s="5" t="n">
        <x:f>E44*'Strategies'!C6*'Strategies'!D6</x:f>
        <x:v>1925970</x:v>
      </x:c>
      <x:c r="G44" s="5" t="n">
        <x:f>E44*SUM('Strategies'!E6:G6)*'Scenarios'!D4</x:f>
        <x:v>985753.25</x:v>
      </x:c>
      <x:c r="H44" s="5" t="n">
        <x:f>'Strategies'!I6</x:f>
        <x:v>1100000</x:v>
      </x:c>
      <x:c r="I44" s="5" t="n">
        <x:f>E44*'Strategies'!J6*'Scenarios'!E4</x:f>
        <x:v>20.1555</x:v>
      </x:c>
      <x:c r="J44" s="5" t="n">
        <x:f>I44*'Assumptions'!$E$2*'Assumptions'!$F$2</x:f>
        <x:v>78606.45</x:v>
      </x:c>
      <x:c r="K44" s="5" t="n">
        <x:f>('Assumptions'!$D$2-I44)*'Assumptions'!$E$2*'Assumptions'!$F$2*O44</x:f>
        <x:v>116764.18065</x:v>
      </x:c>
      <x:c r="L44" s="5" t="n">
        <x:f>F44-G44-H44-J44-K44</x:f>
        <x:v>-355153.88065</x:v>
      </x:c>
      <x:c r="M44" s="5" t="n">
        <x:f>L44/(1+'Assumptions'!$B$2)^D44</x:f>
        <x:v>-317101.6791517857</x:v>
      </x:c>
      <x:c r="N44" s="10" t="n">
        <x:f>I44/'Assumptions'!$D$2</x:f>
        <x:v>0.00201555</x:v>
      </x:c>
      <x:c r="O44" s="10" t="n">
        <x:f>'Strategies'!K6*'Scenarios'!E4</x:f>
        <x:v>0.003</x:v>
      </x:c>
    </x:row>
    <x:row r="45">
      <x:c r="A45" s="16" t="n">
        <x:v>5</x:v>
      </x:c>
      <x:c r="B45" s="16" t="n">
        <x:v>3</x:v>
      </x:c>
      <x:c r="C45" s="16" t="n">
        <x:v>2028</x:v>
      </x:c>
      <x:c r="D45" s="16" t="n">
        <x:v>2</x:v>
      </x:c>
      <x:c r="E45" s="16" t="n">
        <x:f>ROUND(SUMIF('Segment analysis'!$A$2:$A$21,A45,'Segment analysis'!$I$2:$I$21)*'Scenarios'!C4*'Years'!C3,0)</x:f>
        <x:v>2489</x:v>
      </x:c>
      <x:c r="F45" s="5" t="n">
        <x:f>E45*'Strategies'!C6*'Strategies'!D6</x:f>
        <x:v>3210810</x:v>
      </x:c>
      <x:c r="G45" s="5" t="n">
        <x:f>E45*SUM('Strategies'!E6:G6)*'Scenarios'!D4</x:f>
        <x:v>1643362.25</x:v>
      </x:c>
      <x:c r="H45" s="5" t="n">
        <x:f>'Strategies'!I6</x:f>
        <x:v>1100000</x:v>
      </x:c>
      <x:c r="I45" s="5" t="n">
        <x:f>E45*'Strategies'!J6*'Scenarios'!E4</x:f>
        <x:v>33.6015</x:v>
      </x:c>
      <x:c r="J45" s="5" t="n">
        <x:f>I45*'Assumptions'!$E$2*'Assumptions'!$F$2</x:f>
        <x:v>131045.85</x:v>
      </x:c>
      <x:c r="K45" s="5" t="n">
        <x:f>('Assumptions'!$D$2-I45)*'Assumptions'!$E$2*'Assumptions'!$F$2*O45</x:f>
        <x:v>116606.86245</x:v>
      </x:c>
      <x:c r="L45" s="5" t="n">
        <x:f>F45-G45-H45-J45-K45</x:f>
        <x:v>219795.03755</x:v>
      </x:c>
      <x:c r="M45" s="5" t="n">
        <x:f>L45/(1+'Assumptions'!$B$2)^D45</x:f>
        <x:v>175219.25825095663</x:v>
      </x:c>
      <x:c r="N45" s="10" t="n">
        <x:f>I45/'Assumptions'!$D$2</x:f>
        <x:v>0.00336015</x:v>
      </x:c>
      <x:c r="O45" s="10" t="n">
        <x:f>'Strategies'!K6*'Scenarios'!E4</x:f>
        <x:v>0.003</x:v>
      </x:c>
    </x:row>
    <x:row r="46">
      <x:c r="A46" s="16" t="n">
        <x:v>5</x:v>
      </x:c>
      <x:c r="B46" s="16" t="n">
        <x:v>3</x:v>
      </x:c>
      <x:c r="C46" s="16" t="n">
        <x:v>2029</x:v>
      </x:c>
      <x:c r="D46" s="16" t="n">
        <x:v>3</x:v>
      </x:c>
      <x:c r="E46" s="16" t="n">
        <x:f>ROUND(SUMIF('Segment analysis'!$A$2:$A$21,A46,'Segment analysis'!$I$2:$I$21)*'Scenarios'!C4*'Years'!C4,0)</x:f>
        <x:v>3235</x:v>
      </x:c>
      <x:c r="F46" s="5" t="n">
        <x:f>E46*'Strategies'!C6*'Strategies'!D6</x:f>
        <x:v>4173150</x:v>
      </x:c>
      <x:c r="G46" s="5" t="n">
        <x:f>E46*SUM('Strategies'!E6:G6)*'Scenarios'!D4</x:f>
        <x:v>2135908.75</x:v>
      </x:c>
      <x:c r="H46" s="5" t="n">
        <x:f>'Strategies'!I6</x:f>
        <x:v>1100000</x:v>
      </x:c>
      <x:c r="I46" s="5" t="n">
        <x:f>E46*'Strategies'!J6*'Scenarios'!E4</x:f>
        <x:v>43.6725</x:v>
      </x:c>
      <x:c r="J46" s="5" t="n">
        <x:f>I46*'Assumptions'!$E$2*'Assumptions'!$F$2</x:f>
        <x:v>170322.75</x:v>
      </x:c>
      <x:c r="K46" s="5" t="n">
        <x:f>('Assumptions'!$D$2-I46)*'Assumptions'!$E$2*'Assumptions'!$F$2*O46</x:f>
        <x:v>116489.03175000001</x:v>
      </x:c>
      <x:c r="L46" s="5" t="n">
        <x:f>F46-G46-H46-J46-K46</x:f>
        <x:v>650429.46825</x:v>
      </x:c>
      <x:c r="M46" s="5" t="n">
        <x:f>L46/(1+'Assumptions'!$B$2)^D46</x:f>
        <x:v>462962.84809613007</x:v>
      </x:c>
      <x:c r="N46" s="10" t="n">
        <x:f>I46/'Assumptions'!$D$2</x:f>
        <x:v>0.00436725</x:v>
      </x:c>
      <x:c r="O46" s="10" t="n">
        <x:f>'Strategies'!K6*'Scenarios'!E4</x:f>
        <x:v>0.003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4" t="str">
        <x:v>Price USD</x:v>
      </x:c>
      <x:c r="B1" s="4" t="str">
        <x:v>Qualified n</x:v>
      </x:c>
      <x:c r="C1" s="4" t="str">
        <x:v>Annual units</x:v>
      </x:c>
      <x:c r="D1" s="4" t="str">
        <x:v>Contribution / unit</x:v>
      </x:c>
      <x:c r="E1" s="4" t="str">
        <x:v>3-year NPV USD</x:v>
      </x:c>
      <x:c r="F1" s="4" t="str">
        <x:v>Year 1 units</x:v>
      </x:c>
      <x:c r="G1" s="4" t="str">
        <x:v>Year 2 units</x:v>
      </x:c>
      <x:c r="H1" s="4" t="str">
        <x:v>Year 3 units</x:v>
      </x:c>
      <x:c r="I1" s="4" t="str">
        <x:v>Year 1 cash</x:v>
      </x:c>
      <x:c r="J1" s="4" t="str">
        <x:v>Year 2 cash</x:v>
      </x:c>
      <x:c r="K1" s="4" t="str">
        <x:v>Year 3 cash</x:v>
      </x:c>
    </x:row>
    <x:row r="2">
      <x:c r="A2" s="16" t="n">
        <x:v>750</x:v>
      </x:c>
      <x:c r="B2" s="16" t="n">
        <x:f>COUNTIFS('Respondents'!$C$2:$C$121,"&gt;="&amp;A2,'Respondents'!$F$2:$F$121,1)</x:f>
        <x:v>54</x:v>
      </x:c>
      <x:c r="C2" s="16" t="n">
        <x:f>('Segments'!C2*COUNTIFS('Respondents'!$B$2:$B$121,'Segments'!A2,'Respondents'!$C$2:$C$121,"&gt;="&amp;A2,'Respondents'!$F$2:$F$121,1)/COUNTIF('Respondents'!$B$2:$B$121,'Segments'!A2)+'Segments'!C3*COUNTIFS('Respondents'!$B$2:$B$121,'Segments'!A3,'Respondents'!$C$2:$C$121,"&gt;="&amp;A2,'Respondents'!$F$2:$F$121,1)/COUNTIF('Respondents'!$B$2:$B$121,'Segments'!A3)+'Segments'!C4*COUNTIFS('Respondents'!$B$2:$B$121,'Segments'!A4,'Respondents'!$C$2:$C$121,"&gt;="&amp;A2,'Respondents'!$F$2:$F$121,1)/COUNTIF('Respondents'!$B$2:$B$121,'Segments'!A4)+'Segments'!C5*COUNTIFS('Respondents'!$B$2:$B$121,'Segments'!A5,'Respondents'!$C$2:$C$121,"&gt;="&amp;A2,'Respondents'!$F$2:$F$121,1)/COUNTIF('Respondents'!$B$2:$B$121,'Segments'!A5))*'Assumptions'!$C$2*'Strategies'!$L$3</x:f>
        <x:v>10100</x:v>
      </x:c>
      <x:c r="D2" s="5" t="n">
        <x:f>A2*'Strategies'!$D$3-SUM('Strategies'!$E$3:$G$3)</x:f>
        <x:v>160</x:v>
      </x:c>
      <x:c r="E2" s="5" t="n">
        <x:f>I2/(1+'Assumptions'!$B$2)^'Years'!$B$2+J2/(1+'Assumptions'!$B$2)^'Years'!$B$3+K2/(1+'Assumptions'!$B$2)^'Years'!$B$4-'Strategies'!$H$3</x:f>
        <x:v>-5926633.356477769</x:v>
      </x:c>
      <x:c r="F2" s="16" t="n">
        <x:f>ROUND(C2*'Years'!C2,0)</x:f>
        <x:v>6060</x:v>
      </x:c>
      <x:c r="G2" s="16" t="n">
        <x:f>ROUND(C2*'Years'!C3,0)</x:f>
        <x:v>10100</x:v>
      </x:c>
      <x:c r="H2" s="16" t="n">
        <x:f>ROUND(C2*'Years'!C4,0)</x:f>
        <x:v>13130</x:v>
      </x:c>
      <x:c r="I2" s="5" t="n">
        <x:f>F2*(D2-'Strategies'!$J$3*'Assumptions'!$E$2*'Assumptions'!$F$2*(1-'Strategies'!$K$3))-'Strategies'!$I$3-'Assumptions'!$D$2*'Assumptions'!$E$2*'Assumptions'!$F$2*'Strategies'!$K$3</x:f>
        <x:v>-1191440.784</x:v>
      </x:c>
      <x:c r="J2" s="5" t="n">
        <x:f>G2*(D2-'Strategies'!$J$3*'Assumptions'!$E$2*'Assumptions'!$F$2*(1-'Strategies'!$K$3))-'Strategies'!$I$3-'Assumptions'!$D$2*'Assumptions'!$E$2*'Assumptions'!$F$2*'Strategies'!$K$3</x:f>
        <x:v>-733734.6400000001</x:v>
      </x:c>
      <x:c r="K2" s="5" t="n">
        <x:f>H2*(D2-'Strategies'!$J$3*'Assumptions'!$E$2*'Assumptions'!$F$2*(1-'Strategies'!$K$3))-'Strategies'!$I$3-'Assumptions'!$D$2*'Assumptions'!$E$2*'Assumptions'!$F$2*'Strategies'!$K$3</x:f>
        <x:v>-390455.0320000001</x:v>
      </x:c>
    </x:row>
    <x:row r="3">
      <x:c r="A3" s="16" t="n">
        <x:v>950</x:v>
      </x:c>
      <x:c r="B3" s="16" t="n">
        <x:f>COUNTIFS('Respondents'!$C$2:$C$121,"&gt;="&amp;A3,'Respondents'!$F$2:$F$121,1)</x:f>
        <x:v>44</x:v>
      </x:c>
      <x:c r="C3" s="16" t="n">
        <x:f>('Segments'!C2*COUNTIFS('Respondents'!$B$2:$B$121,'Segments'!A2,'Respondents'!$C$2:$C$121,"&gt;="&amp;A3,'Respondents'!$F$2:$F$121,1)/COUNTIF('Respondents'!$B$2:$B$121,'Segments'!A2)+'Segments'!C3*COUNTIFS('Respondents'!$B$2:$B$121,'Segments'!A3,'Respondents'!$C$2:$C$121,"&gt;="&amp;A3,'Respondents'!$F$2:$F$121,1)/COUNTIF('Respondents'!$B$2:$B$121,'Segments'!A3)+'Segments'!C4*COUNTIFS('Respondents'!$B$2:$B$121,'Segments'!A4,'Respondents'!$C$2:$C$121,"&gt;="&amp;A3,'Respondents'!$F$2:$F$121,1)/COUNTIF('Respondents'!$B$2:$B$121,'Segments'!A4)+'Segments'!C5*COUNTIFS('Respondents'!$B$2:$B$121,'Segments'!A5,'Respondents'!$C$2:$C$121,"&gt;="&amp;A3,'Respondents'!$F$2:$F$121,1)/COUNTIF('Respondents'!$B$2:$B$121,'Segments'!A5))*'Assumptions'!$C$2*'Strategies'!$L$3</x:f>
        <x:v>7639.999999999999</x:v>
      </x:c>
      <x:c r="D3" s="5" t="n">
        <x:f>A3*'Strategies'!$D$3-SUM('Strategies'!$E$3:$G$3)</x:f>
        <x:v>336</x:v>
      </x:c>
      <x:c r="E3" s="5" t="n">
        <x:f>I3/(1+'Assumptions'!$B$2)^'Years'!$B$2+J3/(1+'Assumptions'!$B$2)^'Years'!$B$3+K3/(1+'Assumptions'!$B$2)^'Years'!$B$4-'Strategies'!$H$3</x:f>
        <x:v>-3519508.7749161813</x:v>
      </x:c>
      <x:c r="F3" s="16" t="n">
        <x:f>ROUND(C3*'Years'!C2,0)</x:f>
        <x:v>4584</x:v>
      </x:c>
      <x:c r="G3" s="16" t="n">
        <x:f>ROUND(C3*'Years'!C3,0)</x:f>
        <x:v>7640</x:v>
      </x:c>
      <x:c r="H3" s="16" t="n">
        <x:f>ROUND(C3*'Years'!C4,0)</x:f>
        <x:v>9932</x:v>
      </x:c>
      <x:c r="I3" s="5" t="n">
        <x:f>F3*(D3-'Strategies'!$J$3*'Assumptions'!$E$2*'Assumptions'!$F$2*(1-'Strategies'!$K$3))-'Strategies'!$I$3-'Assumptions'!$D$2*'Assumptions'!$E$2*'Assumptions'!$F$2*'Strategies'!$K$3</x:f>
        <x:v>-551878.1376000002</x:v>
      </x:c>
      <x:c r="J3" s="5" t="n">
        <x:f>G3*(D3-'Strategies'!$J$3*'Assumptions'!$E$2*'Assumptions'!$F$2*(1-'Strategies'!$K$3))-'Strategies'!$I$3-'Assumptions'!$D$2*'Assumptions'!$E$2*'Assumptions'!$F$2*'Strategies'!$K$3</x:f>
        <x:v>332203.1039999998</x:v>
      </x:c>
      <x:c r="K3" s="5" t="n">
        <x:f>H3*(D3-'Strategies'!$J$3*'Assumptions'!$E$2*'Assumptions'!$F$2*(1-'Strategies'!$K$3))-'Strategies'!$I$3-'Assumptions'!$D$2*'Assumptions'!$E$2*'Assumptions'!$F$2*'Strategies'!$K$3</x:f>
        <x:v>995264.0351999998</x:v>
      </x:c>
    </x:row>
    <x:row r="4">
      <x:c r="A4" s="16" t="n">
        <x:v>1150</x:v>
      </x:c>
      <x:c r="B4" s="16" t="n">
        <x:f>COUNTIFS('Respondents'!$C$2:$C$121,"&gt;="&amp;A4,'Respondents'!$F$2:$F$121,1)</x:f>
        <x:v>25</x:v>
      </x:c>
      <x:c r="C4" s="16" t="n">
        <x:f>('Segments'!C2*COUNTIFS('Respondents'!$B$2:$B$121,'Segments'!A2,'Respondents'!$C$2:$C$121,"&gt;="&amp;A4,'Respondents'!$F$2:$F$121,1)/COUNTIF('Respondents'!$B$2:$B$121,'Segments'!A2)+'Segments'!C3*COUNTIFS('Respondents'!$B$2:$B$121,'Segments'!A3,'Respondents'!$C$2:$C$121,"&gt;="&amp;A4,'Respondents'!$F$2:$F$121,1)/COUNTIF('Respondents'!$B$2:$B$121,'Segments'!A3)+'Segments'!C4*COUNTIFS('Respondents'!$B$2:$B$121,'Segments'!A4,'Respondents'!$C$2:$C$121,"&gt;="&amp;A4,'Respondents'!$F$2:$F$121,1)/COUNTIF('Respondents'!$B$2:$B$121,'Segments'!A4)+'Segments'!C5*COUNTIFS('Respondents'!$B$2:$B$121,'Segments'!A5,'Respondents'!$C$2:$C$121,"&gt;="&amp;A4,'Respondents'!$F$2:$F$121,1)/COUNTIF('Respondents'!$B$2:$B$121,'Segments'!A5))*'Assumptions'!$C$2*'Strategies'!$L$3</x:f>
        <x:v>3639.9999999999995</x:v>
      </x:c>
      <x:c r="D4" s="5" t="n">
        <x:f>A4*'Strategies'!$D$3-SUM('Strategies'!$E$3:$G$3)</x:f>
        <x:v>512</x:v>
      </x:c>
      <x:c r="E4" s="5" t="n">
        <x:f>I4/(1+'Assumptions'!$B$2)^'Years'!$B$2+J4/(1+'Assumptions'!$B$2)^'Years'!$B$3+K4/(1+'Assumptions'!$B$2)^'Years'!$B$4-'Strategies'!$H$3</x:f>
        <x:v>-4685958.371490525</x:v>
      </x:c>
      <x:c r="F4" s="16" t="n">
        <x:f>ROUND(C4*'Years'!C2,0)</x:f>
        <x:v>2184</x:v>
      </x:c>
      <x:c r="G4" s="16" t="n">
        <x:f>ROUND(C4*'Years'!C3,0)</x:f>
        <x:v>3640</x:v>
      </x:c>
      <x:c r="H4" s="16" t="n">
        <x:f>ROUND(C4*'Years'!C4,0)</x:f>
        <x:v>4732</x:v>
      </x:c>
      <x:c r="I4" s="5" t="n">
        <x:f>F4*(D4-'Strategies'!$J$3*'Assumptions'!$E$2*'Assumptions'!$F$2*(1-'Strategies'!$K$3))-'Strategies'!$I$3-'Assumptions'!$D$2*'Assumptions'!$E$2*'Assumptions'!$F$2*'Strategies'!$K$3</x:f>
        <x:v>-861798.7776</x:v>
      </x:c>
      <x:c r="J4" s="5" t="n">
        <x:f>G4*(D4-'Strategies'!$J$3*'Assumptions'!$E$2*'Assumptions'!$F$2*(1-'Strategies'!$K$3))-'Strategies'!$I$3-'Assumptions'!$D$2*'Assumptions'!$E$2*'Assumptions'!$F$2*'Strategies'!$K$3</x:f>
        <x:v>-184331.2960000001</x:v>
      </x:c>
      <x:c r="K4" s="5" t="n">
        <x:f>H4*(D4-'Strategies'!$J$3*'Assumptions'!$E$2*'Assumptions'!$F$2*(1-'Strategies'!$K$3))-'Strategies'!$I$3-'Assumptions'!$D$2*'Assumptions'!$E$2*'Assumptions'!$F$2*'Strategies'!$K$3</x:f>
        <x:v>323769.31520000007</x:v>
      </x:c>
    </x:row>
    <x:row r="5">
      <x:c r="A5" s="16" t="n">
        <x:v>1350</x:v>
      </x:c>
      <x:c r="B5" s="16" t="n">
        <x:f>COUNTIFS('Respondents'!$C$2:$C$121,"&gt;="&amp;A5,'Respondents'!$F$2:$F$121,1)</x:f>
        <x:v>17</x:v>
      </x:c>
      <x:c r="C5" s="16" t="n">
        <x:f>('Segments'!C2*COUNTIFS('Respondents'!$B$2:$B$121,'Segments'!A2,'Respondents'!$C$2:$C$121,"&gt;="&amp;A5,'Respondents'!$F$2:$F$121,1)/COUNTIF('Respondents'!$B$2:$B$121,'Segments'!A2)+'Segments'!C3*COUNTIFS('Respondents'!$B$2:$B$121,'Segments'!A3,'Respondents'!$C$2:$C$121,"&gt;="&amp;A5,'Respondents'!$F$2:$F$121,1)/COUNTIF('Respondents'!$B$2:$B$121,'Segments'!A3)+'Segments'!C4*COUNTIFS('Respondents'!$B$2:$B$121,'Segments'!A4,'Respondents'!$C$2:$C$121,"&gt;="&amp;A5,'Respondents'!$F$2:$F$121,1)/COUNTIF('Respondents'!$B$2:$B$121,'Segments'!A4)+'Segments'!C5*COUNTIFS('Respondents'!$B$2:$B$121,'Segments'!A5,'Respondents'!$C$2:$C$121,"&gt;="&amp;A5,'Respondents'!$F$2:$F$121,1)/COUNTIF('Respondents'!$B$2:$B$121,'Segments'!A5))*'Assumptions'!$C$2*'Strategies'!$L$3</x:f>
        <x:v>2360</x:v>
      </x:c>
      <x:c r="D5" s="5" t="n">
        <x:f>A5*'Strategies'!$D$3-SUM('Strategies'!$E$3:$G$3)</x:f>
        <x:v>688</x:v>
      </x:c>
      <x:c r="E5" s="5" t="n">
        <x:f>I5/(1+'Assumptions'!$B$2)^'Years'!$B$2+J5/(1+'Assumptions'!$B$2)^'Years'!$B$3+K5/(1+'Assumptions'!$B$2)^'Years'!$B$4-'Strategies'!$H$3</x:f>
        <x:v>-5092925.761344752</x:v>
      </x:c>
      <x:c r="F5" s="16" t="n">
        <x:f>ROUND(C5*'Years'!C2,0)</x:f>
        <x:v>1416</x:v>
      </x:c>
      <x:c r="G5" s="16" t="n">
        <x:f>ROUND(C5*'Years'!C3,0)</x:f>
        <x:v>2360</x:v>
      </x:c>
      <x:c r="H5" s="16" t="n">
        <x:f>ROUND(C5*'Years'!C4,0)</x:f>
        <x:v>3068</x:v>
      </x:c>
      <x:c r="I5" s="5" t="n">
        <x:f>F5*(D5-'Strategies'!$J$3*'Assumptions'!$E$2*'Assumptions'!$F$2*(1-'Strategies'!$K$3))-'Strategies'!$I$3-'Assumptions'!$D$2*'Assumptions'!$E$2*'Assumptions'!$F$2*'Strategies'!$K$3</x:f>
        <x:v>-969928.2624</x:v>
      </x:c>
      <x:c r="J5" s="5" t="n">
        <x:f>G5*(D5-'Strategies'!$J$3*'Assumptions'!$E$2*'Assumptions'!$F$2*(1-'Strategies'!$K$3))-'Strategies'!$I$3-'Assumptions'!$D$2*'Assumptions'!$E$2*'Assumptions'!$F$2*'Strategies'!$K$3</x:f>
        <x:v>-364547.10400000005</x:v>
      </x:c>
      <x:c r="K5" s="5" t="n">
        <x:f>H5*(D5-'Strategies'!$J$3*'Assumptions'!$E$2*'Assumptions'!$F$2*(1-'Strategies'!$K$3))-'Strategies'!$I$3-'Assumptions'!$D$2*'Assumptions'!$E$2*'Assumptions'!$F$2*'Strategies'!$K$3</x:f>
        <x:v>89488.7648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5" hidden="0" customWidth="1"/>
  </x:cols>
  <x:sheetData>
    <x:row r="1" ht="42" customHeight="1">
      <x:c r="A1" s="4" t="str">
        <x:v>Topic</x:v>
      </x:c>
      <x:c r="B1" s="4" t="str">
        <x:v>Explanation</x:v>
      </x:c>
    </x:row>
    <x:row r="2" ht="42" customHeight="1">
      <x:c r="A2" s="5" t="str">
        <x:v>Scope</x:v>
      </x:c>
      <x:c r="B2" s="11" t="str">
        <x:v>Fictional Maison Valenne. Synthetic US scenario, 2027–2029; USD.</x:v>
      </x:c>
    </x:row>
    <x:row r="3" ht="42" customHeight="1">
      <x:c r="A3" s="5" t="str">
        <x:v>Inputs</x:v>
      </x:c>
      <x:c r="B3" s="11" t="str">
        <x:v>Blue text identifies editable synthetic raw inputs. Calculations use dark text.</x:v>
      </x:c>
    </x:row>
    <x:row r="4" ht="42" customHeight="1">
      <x:c r="A4" s="5" t="str">
        <x:v>Workflow</x:v>
      </x:c>
      <x:c r="B4" s="11" t="str">
        <x:v>Raw CSVs → MySQL views → formula Excel cross-check → Power BI CSV model.</x:v>
      </x:c>
    </x:row>
    <x:row r="5" ht="42" customHeight="1">
      <x:c r="A5" s="5" t="str">
        <x:v>Recalculation</x:v>
      </x:c>
      <x:c r="B5" s="11" t="str">
        <x:v>Excel formulas recalculate after edits. Regenerate CSV/SQL/Power BI separately; no live cross-tool sync.</x:v>
      </x:c>
    </x:row>
    <x:row r="6" ht="42" customHeight="1">
      <x:c r="A6" s="5" t="str">
        <x:v>Decision</x:v>
      </x:c>
      <x:c r="B6" s="11" t="str">
        <x:v>All entry NPVs negative; no entry benchmark is zero. See strategy memo for limits.</x:v>
      </x:c>
    </x:row>
    <x:row r="7" ht="42" customHeight="1">
      <x:c r="A7" s="5" t="str">
        <x:v>Cash definition</x:v>
      </x:c>
      <x:c r="B7" s="11" t="str">
        <x:v>Pre-tax operating-cash proxy; excludes financing, working capital and terminal value.</x:v>
      </x:c>
    </x:row>
    <x:row r="8" ht="42" customHeight="1">
      <x:c r="A8" s="5" t="str">
        <x:v>Brand risk</x:v>
      </x:c>
      <x:c r="B8" s="11" t="str">
        <x:v>Haircut applies to residual mechanical contribution after displaced units.</x:v>
      </x:c>
    </x:row>
    <x:row r="9" ht="42" customHeight="1">
      <x:c r="A9" s="5" t="str">
        <x:v>Sample</x:v>
      </x:c>
      <x:c r="B9" s="11" t="str">
        <x:v>120 synthetic people, 30 per segment; 600 concept ratings. Stated preference, not causal evidence.</x:v>
      </x:c>
    </x:row>
    <x:row r="10" ht="42" customHeight="1">
      <x:c r="A10" s="5" t="str">
        <x:v>Demand</x:v>
      </x:c>
      <x:c r="B10" s="11" t="str">
        <x:v>Qualified share × annual reachable audience × 12% calibration × demand factor × ramp.</x:v>
      </x:c>
    </x:row>
    <x:row r="11" ht="42" customHeight="1">
      <x:c r="A11" s="5" t="str">
        <x:v>Forecast rows</x:v>
      </x:c>
      <x:c r="B11" s="11" t="str">
        <x:v>Strategy × scenario × year. Alternative strategies and scenarios must not be summed.</x:v>
      </x:c>
    </x:row>
    <x:row r="12" ht="42" customHeight="1">
      <x:c r="A12" s="5" t="str">
        <x:v>Sources</x:v>
      </x:c>
      <x:c r="B12" s="11" t="str">
        <x:v>All raw numeric model assumptions are synthetic. Public reference prices do not calibrate forecasts.</x:v>
      </x:c>
    </x:row>
    <x:row r="13" ht="42" customHeight="1">
      <x:c r="A13" s="5" t="str">
        <x:v>Apple Watch Ultra 3</x:v>
      </x:c>
      <x:c r="B13" s="11" t="str">
        <x:v>https://www.apple.com/newsroom/2025/09/introducing-apple-watch-ultra-3/</x:v>
      </x:c>
    </x:row>
    <x:row r="14" ht="42" customHeight="1">
      <x:c r="A14" s="5" t="str">
        <x:v>TAG Heuer Connected E5 SBT8A80.BT6293</x:v>
      </x:c>
      <x:c r="B14" s="11" t="str">
        <x:v>https://www.tagheuer.com/us/en/smartwatches/collections/tag-heuer-connected/45-mm/SBT8A80.BT6293.html</x:v>
      </x:c>
    </x:row>
    <x:row r="15" ht="42" customHeight="1">
      <x:c r="A15" s="5" t="str">
        <x:v>Withings ScanWatch Nova</x:v>
      </x:c>
      <x:c r="B15" s="11" t="str">
        <x:v>https://media.withings.com/press/press-releases/scanwatch-nova/withings-scanwatch-nova-en.pdf</x:v>
      </x:c>
    </x:row>
    <x:row r="16" ht="42" customHeight="1">
      <x:c r="A16" s="5" t="str">
        <x:v>Source date</x:v>
      </x:c>
      <x:c r="B16" s="11" t="str">
        <x:v>Public references accessed 2026-09-19; Apple price is its 2025 launch price.</x:v>
      </x:c>
    </x:row>
    <x:row r="17" ht="42" customHeight="1">
      <x:c r="A17" s="5" t="str">
        <x:v>Power BI</x:v>
      </x:c>
      <x:c r="B17" s="11" t="str">
        <x:v>Manual Action Required: build/save PBIX and execute DAX acceptance checks.</x:v>
      </x:c>
    </x:row>
  </x:sheetData>
  <x:pageMargins left="0.7" right="0.7" top="0.75" bottom="0.75" header="0.3" footer="0.3"/>
</x:worksheet>
</file>